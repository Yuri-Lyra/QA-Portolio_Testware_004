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 Plan" sheetId="1" state="visible" r:id="rId1"/>
    <sheet xmlns:r="http://schemas.openxmlformats.org/officeDocument/2006/relationships" name="Schedule" sheetId="2" state="visible" r:id="rId2"/>
    <sheet xmlns:r="http://schemas.openxmlformats.org/officeDocument/2006/relationships" name="Risk Register" sheetId="3" state="visible" r:id="rId3"/>
    <sheet xmlns:r="http://schemas.openxmlformats.org/officeDocument/2006/relationships" name="Entry-Exit Criteria"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0"/>
      <color theme="1"/>
      <sz val="11"/>
    </font>
    <font>
      <name val="Arial"/>
      <family val="0"/>
      <sz val="10"/>
    </font>
    <font>
      <name val="Arial"/>
      <family val="0"/>
      <sz val="10"/>
    </font>
    <font>
      <name val="Arial"/>
      <family val="0"/>
      <sz val="10"/>
    </font>
    <font>
      <name val="Calibri"/>
      <charset val="1"/>
      <family val="0"/>
      <b val="1"/>
      <color rgb="FFFFFFFF"/>
      <sz val="14"/>
    </font>
    <font>
      <name val="Calibri"/>
      <charset val="1"/>
      <family val="0"/>
      <b val="1"/>
      <color rgb="FF000000"/>
      <sz val="10"/>
      <u val="single"/>
    </font>
    <font>
      <name val="Calibri"/>
      <charset val="1"/>
      <family val="0"/>
      <b val="1"/>
      <color rgb="FF000000"/>
      <sz val="10"/>
    </font>
    <font>
      <name val="Calibri"/>
      <charset val="1"/>
      <family val="0"/>
      <color rgb="FF000000"/>
      <sz val="10"/>
    </font>
    <font>
      <name val="Calibri"/>
      <charset val="1"/>
      <family val="0"/>
      <b val="1"/>
      <color rgb="FF000000"/>
      <sz val="11"/>
    </font>
    <font>
      <name val="Arial"/>
      <family val="2"/>
      <sz val="10"/>
    </font>
    <font>
      <name val="Calibri"/>
      <charset val="1"/>
      <family val="0"/>
      <color rgb="FF797979"/>
      <sz val="9"/>
    </font>
    <font>
      <name val="Calibri"/>
      <charset val="1"/>
      <family val="0"/>
      <b val="1"/>
      <color rgb="FFFFFFFF"/>
      <sz val="10"/>
    </font>
    <font>
      <name val="Calibri"/>
      <charset val="1"/>
      <family val="0"/>
      <color rgb="FF0000FF"/>
      <sz val="10"/>
    </font>
  </fonts>
  <fills count="7">
    <fill>
      <patternFill/>
    </fill>
    <fill>
      <patternFill patternType="gray125"/>
    </fill>
    <fill>
      <patternFill patternType="solid">
        <fgColor rgb="FF2E2E2E"/>
        <bgColor rgb="FF333300"/>
      </patternFill>
    </fill>
    <fill>
      <patternFill patternType="solid">
        <fgColor rgb="FFFBE4CD"/>
        <bgColor rgb="FFFFE0B2"/>
      </patternFill>
    </fill>
    <fill>
      <patternFill patternType="solid">
        <fgColor rgb="FFEE795E"/>
        <bgColor rgb="FFFF6600"/>
      </patternFill>
    </fill>
    <fill>
      <patternFill patternType="solid">
        <fgColor rgb="FFFFF8DB"/>
        <bgColor rgb="FFFFFFFF"/>
      </patternFill>
    </fill>
    <fill>
      <patternFill patternType="solid">
        <fgColor rgb="FFFFE499"/>
        <bgColor rgb="FFFFE0B2"/>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5" fillId="3" borderId="0" applyAlignment="1" pivotButton="0" quotePrefix="0" xfId="0">
      <alignment horizontal="general" vertical="center" wrapText="1"/>
    </xf>
    <xf numFmtId="0" fontId="6" fillId="3" borderId="0" applyAlignment="1" pivotButton="0" quotePrefix="0" xfId="0">
      <alignment horizontal="general" vertical="center"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center" wrapText="1"/>
    </xf>
    <xf numFmtId="0" fontId="8" fillId="3" borderId="0" applyAlignment="1" pivotButton="0" quotePrefix="0" xfId="0">
      <alignment horizontal="general" vertical="center" wrapText="1"/>
    </xf>
    <xf numFmtId="0" fontId="10" fillId="3" borderId="0" applyAlignment="1" pivotButton="0" quotePrefix="0" xfId="0">
      <alignment horizontal="general" vertical="top" wrapText="1"/>
    </xf>
    <xf numFmtId="0" fontId="11" fillId="4" borderId="0" applyAlignment="1" pivotButton="0" quotePrefix="0" xfId="0">
      <alignment horizontal="general" vertical="top" wrapText="1"/>
    </xf>
    <xf numFmtId="164" fontId="7" fillId="5" borderId="0" applyAlignment="1" pivotButton="0" quotePrefix="0" xfId="0">
      <alignment horizontal="general" vertical="top" wrapText="1"/>
    </xf>
    <xf numFmtId="0" fontId="6" fillId="0" borderId="0" applyAlignment="1" pivotButton="0" quotePrefix="0" xfId="0">
      <alignment horizontal="general" vertical="bottom"/>
    </xf>
    <xf numFmtId="164" fontId="6" fillId="0" borderId="0" applyAlignment="1" pivotButton="0" quotePrefix="0" xfId="0">
      <alignment horizontal="general" vertical="top" wrapText="1"/>
    </xf>
    <xf numFmtId="0" fontId="12" fillId="5" borderId="0" applyAlignment="1" pivotButton="0" quotePrefix="0" xfId="0">
      <alignment horizontal="general" vertical="bottom"/>
    </xf>
    <xf numFmtId="0" fontId="11" fillId="4" borderId="0" applyAlignment="1" pivotButton="0" quotePrefix="0" xfId="0">
      <alignment horizontal="center" vertical="top" wrapText="1"/>
    </xf>
    <xf numFmtId="0" fontId="12" fillId="5" borderId="0" applyAlignment="1" pivotButton="0" quotePrefix="0" xfId="0">
      <alignment horizontal="center" vertical="top" wrapText="1"/>
    </xf>
    <xf numFmtId="0" fontId="7" fillId="0" borderId="0" applyAlignment="1" pivotButton="0" quotePrefix="0" xfId="0">
      <alignment horizontal="center" vertical="top" wrapText="1"/>
    </xf>
    <xf numFmtId="0" fontId="6" fillId="6" borderId="0" applyAlignment="1" pivotButton="0" quotePrefix="0" xfId="0">
      <alignment horizontal="general" vertical="top" wrapText="1"/>
    </xf>
    <xf numFmtId="164"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5" fillId="3" borderId="0" applyAlignment="1" pivotButton="0" quotePrefix="0" xfId="0">
      <alignment horizontal="general" vertical="center" wrapText="1"/>
    </xf>
    <xf numFmtId="0" fontId="6" fillId="3" borderId="0" applyAlignment="1" pivotButton="0" quotePrefix="0" xfId="0">
      <alignment horizontal="general" vertical="center"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center" wrapText="1"/>
    </xf>
    <xf numFmtId="0" fontId="8" fillId="3" borderId="0" applyAlignment="1" pivotButton="0" quotePrefix="0" xfId="0">
      <alignment horizontal="general" vertical="center" wrapText="1"/>
    </xf>
    <xf numFmtId="0" fontId="10" fillId="3" borderId="0" applyAlignment="1" pivotButton="0" quotePrefix="0" xfId="0">
      <alignment horizontal="general" vertical="top" wrapText="1"/>
    </xf>
    <xf numFmtId="0" fontId="11" fillId="4" borderId="0" applyAlignment="1" pivotButton="0" quotePrefix="0" xfId="0">
      <alignment horizontal="general" vertical="top" wrapText="1"/>
    </xf>
    <xf numFmtId="164" fontId="7" fillId="5" borderId="0" applyAlignment="1" pivotButton="0" quotePrefix="0" xfId="0">
      <alignment horizontal="general" vertical="top" wrapText="1"/>
    </xf>
    <xf numFmtId="0" fontId="6" fillId="0" borderId="0" applyAlignment="1" pivotButton="0" quotePrefix="0" xfId="0">
      <alignment horizontal="general" vertical="bottom"/>
    </xf>
    <xf numFmtId="164" fontId="6" fillId="0" borderId="0" applyAlignment="1" pivotButton="0" quotePrefix="0" xfId="0">
      <alignment horizontal="general" vertical="top" wrapText="1"/>
    </xf>
    <xf numFmtId="0" fontId="12" fillId="5" borderId="0" applyAlignment="1" pivotButton="0" quotePrefix="0" xfId="0">
      <alignment horizontal="general" vertical="bottom"/>
    </xf>
    <xf numFmtId="0" fontId="11" fillId="4" borderId="0" applyAlignment="1" pivotButton="0" quotePrefix="0" xfId="0">
      <alignment horizontal="center" vertical="top" wrapText="1"/>
    </xf>
    <xf numFmtId="0" fontId="12" fillId="5" borderId="0" applyAlignment="1" pivotButton="0" quotePrefix="0" xfId="0">
      <alignment horizontal="center" vertical="top" wrapText="1"/>
    </xf>
    <xf numFmtId="0" fontId="7" fillId="0" borderId="0" applyAlignment="1" pivotButton="0" quotePrefix="0" xfId="0">
      <alignment horizontal="center" vertical="top" wrapText="1"/>
    </xf>
    <xf numFmtId="0" fontId="6" fillId="6" borderId="0" applyAlignment="1" pivotButton="0" quotePrefix="0" xfId="0">
      <alignment horizontal="general" vertical="top" wrapText="1"/>
    </xf>
    <xf numFmtId="164"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ont>
        <name val="Calibri"/>
        <charset val="1"/>
        <family val="0"/>
        <b val="1"/>
      </font>
      <fill>
        <patternFill>
          <bgColor rgb="FF92C47C"/>
        </patternFill>
      </fill>
    </dxf>
    <dxf>
      <font>
        <name val="Calibri"/>
        <charset val="1"/>
        <family val="0"/>
        <b val="1"/>
      </font>
      <fill>
        <patternFill>
          <bgColor rgb="FFF8CA9C"/>
        </patternFill>
      </fill>
    </dxf>
    <dxf>
      <font>
        <name val="Calibri"/>
        <charset val="1"/>
        <family val="0"/>
        <b val="1"/>
      </font>
      <fill>
        <patternFill>
          <bgColor rgb="FFFFF3AF"/>
        </patternFill>
      </fill>
    </dxf>
    <dxf>
      <fill>
        <patternFill>
          <bgColor rgb="FFC5E7C7"/>
        </patternFill>
      </fill>
    </dxf>
    <dxf>
      <fill>
        <patternFill>
          <bgColor rgb="FFFFF3AF"/>
        </patternFill>
      </fill>
    </dxf>
    <dxf>
      <fill>
        <patternFill>
          <bgColor rgb="FFE8E8E8"/>
        </patternFill>
      </fill>
    </dxf>
    <dxf>
      <fill>
        <patternFill>
          <bgColor rgb="FFF4A69F"/>
        </patternFill>
      </fill>
    </dxf>
    <dxf>
      <fill>
        <patternFill>
          <bgColor rgb="FFC9E0C4"/>
        </patternFill>
      </fill>
    </dxf>
    <dxf>
      <fill>
        <patternFill>
          <bgColor rgb="FFFFE0B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2C47C"/>
      <rgbColor rgb="FF797979"/>
      <rgbColor rgb="FF9999FF"/>
      <rgbColor rgb="FF993366"/>
      <rgbColor rgb="FFFFF8DB"/>
      <rgbColor rgb="FFE8E8E8"/>
      <rgbColor rgb="FF660066"/>
      <rgbColor rgb="FFEE795E"/>
      <rgbColor rgb="FF0066CC"/>
      <rgbColor rgb="FFC9E0C4"/>
      <rgbColor rgb="FF000080"/>
      <rgbColor rgb="FFFF00FF"/>
      <rgbColor rgb="FFFFFF00"/>
      <rgbColor rgb="FF00FFFF"/>
      <rgbColor rgb="FF800080"/>
      <rgbColor rgb="FF800000"/>
      <rgbColor rgb="FF008080"/>
      <rgbColor rgb="FF0000FF"/>
      <rgbColor rgb="FF00CCFF"/>
      <rgbColor rgb="FFFBE4CD"/>
      <rgbColor rgb="FFC5E7C7"/>
      <rgbColor rgb="FFFFF3AF"/>
      <rgbColor rgb="FFFFE0B2"/>
      <rgbColor rgb="FFF4A69F"/>
      <rgbColor rgb="FFCC99FF"/>
      <rgbColor rgb="FFF8CA9C"/>
      <rgbColor rgb="FF3366FF"/>
      <rgbColor rgb="FF33CCCC"/>
      <rgbColor rgb="FF99CC00"/>
      <rgbColor rgb="FFFFE499"/>
      <rgbColor rgb="FFFF9900"/>
      <rgbColor rgb="FFFF6600"/>
      <rgbColor rgb="FF666699"/>
      <rgbColor rgb="FF969696"/>
      <rgbColor rgb="FF003366"/>
      <rgbColor rgb="FF339966"/>
      <rgbColor rgb="FF003300"/>
      <rgbColor rgb="FF333300"/>
      <rgbColor rgb="FF993300"/>
      <rgbColor rgb="FF993366"/>
      <rgbColor rgb="FF333399"/>
      <rgbColor rgb="FF2E2E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QA</author>
  </authors>
  <commentList>
    <comment ref="C2" authorId="0" shapeId="0">
      <text>
        <t>Pendent = not reviewed yet. To confirm = waiting for an answer from the team. Confirmed = agreed.</t>
      </text>
    </comment>
    <comment ref="A3" authorId="0" shapeId="0">
      <text>
        <t>WHAT is tested and what is NOT. Writing the 'out of scope' list avoids discussions later about tests nobody planned (CTFL 5.1.1 / ISO 29119-3 test plan: context of testing).</t>
      </text>
    </comment>
    <comment ref="A4" authorId="0" shapeId="0">
      <text>
        <t>WHY we test. Each objective must be checkable at the end of the cycle; the exit criteria are built from them.</t>
      </text>
    </comment>
    <comment ref="A5" authorId="0" shapeId="0">
      <text>
        <t>Limits that shape HOW we can test (time, tools, data, environment).</t>
      </text>
    </comment>
    <comment ref="A6" authorId="0" shapeId="0">
      <text>
        <t>The documents the tests are derived from. If a rule is not in the test basis, it becomes an assumption to confirm.</t>
      </text>
    </comment>
    <comment ref="A9" authorId="0" shapeId="0">
      <text>
        <t>Rules already stated by the team. Expected results of the test cases come from here.</t>
      </text>
    </comment>
    <comment ref="A10" authorId="0" shapeId="0">
      <text>
        <t>Anything we BELIEVE but nobody confirmed. Each one becomes a question to the team; the answer changes the expected result of some test cases.</t>
      </text>
    </comment>
    <comment ref="A13" authorId="0" shapeId="0">
      <text>
        <t>Who is involved and why. Knowing who answers each kind of question saves time.</t>
      </text>
    </comment>
    <comment ref="A19" authorId="0" shapeId="0">
      <text>
        <t>Risk-based testing: the higher the risk score, the earlier and deeper we test that area (CTFL 5.2).</t>
      </text>
    </comment>
    <comment ref="A23" authorId="0" shapeId="0">
      <text>
        <t>Level = how big the piece under test is. Here: the whole system and its integrations, not single functions of the code.</t>
      </text>
    </comment>
    <comment ref="A24" authorId="0" shapeId="0">
      <text>
        <t>Type = which quality characteristic we check (function, data, time, usability, robustness).</t>
      </text>
    </comment>
    <comment ref="A25" authorId="0" shapeId="0">
      <text>
        <t>Techniques = methods to choose test cases with the best coverage using few tests (CTFL chapter 4).</t>
      </text>
    </comment>
    <comment ref="A26" authorId="0" shapeId="0">
      <text>
        <t>The work products this cycle will produce (ISO 29119-3).</t>
      </text>
    </comment>
    <comment ref="A27" authorId="0" shapeId="0">
      <text>
        <t>Entry = what must be true to START executing. Exit = what must be true to say we are DONE.</t>
      </text>
    </comment>
    <comment ref="A28" authorId="0" shapeId="0">
      <text>
        <t>An independent tester finds different defects than the author of the code.</t>
      </text>
    </comment>
    <comment ref="A29" authorId="0" shapeId="0">
      <text>
        <t>The numbers that show progress and quality during and at the end of the cycle.</t>
      </text>
    </comment>
    <comment ref="A30" authorId="0" shapeId="0">
      <text>
        <t>The data that must exist BEFORE the tests run. Missing data is a common reason for blocked tests.</t>
      </text>
    </comment>
    <comment ref="A31" authorId="0" shapeId="0">
      <text>
        <t>Tools, devices and environments needed. Record versions: a defect is only useful if it can be reproduced in the same configuration.</t>
      </text>
    </comment>
  </commentList>
</comments>
</file>

<file path=xl/comments/comment2.xml><?xml version="1.0" encoding="utf-8"?>
<comments xmlns="http://schemas.openxmlformats.org/spreadsheetml/2006/main">
  <authors>
    <author>QA</author>
  </authors>
  <commentList>
    <comment ref="B4" authorId="0" shapeId="0">
      <text>
        <t>The test process phases of ISO/IEC/IEEE 29119-2 (same as the CTFL test process).</t>
      </text>
    </comment>
    <comment ref="G4" authorId="0" shapeId="0">
      <text>
        <t>Formula NETWORKDAYS(Start, End): counts Monday to Friday, both days included.</t>
      </text>
    </comment>
  </commentList>
</comments>
</file>

<file path=xl/comments/comment3.xml><?xml version="1.0" encoding="utf-8"?>
<comments xmlns="http://schemas.openxmlformats.org/spreadsheetml/2006/main">
  <authors>
    <author>QA</author>
  </authors>
  <commentList>
    <comment ref="A3" authorId="0" shapeId="0">
      <text>
        <t>Scores from this value up are High. Change it and every Level updates.</t>
      </text>
    </comment>
    <comment ref="B6" authorId="0" shapeId="0">
      <text>
        <t>Product risk = the software may fail (quality). Project risk = the testing work may fail (time, people, data).</t>
      </text>
    </comment>
    <comment ref="D6" authorId="0" shapeId="0">
      <text>
        <t>How likely is it to happen? 1 = very unlikely, 5 = almost certain.</t>
      </text>
    </comment>
    <comment ref="E6" authorId="0" shapeId="0">
      <text>
        <t>How bad is it for the business or the user if it happens? 1 = minor, 5 = severe.</t>
      </text>
    </comment>
    <comment ref="H6" authorId="0" shapeId="0">
      <text>
        <t>What testing (or other action) reduces the risk or shows whether it happened.</t>
      </text>
    </comment>
  </commentList>
</comments>
</file>

<file path=xl/comments/comment4.xml><?xml version="1.0" encoding="utf-8"?>
<comments xmlns="http://schemas.openxmlformats.org/spreadsheetml/2006/main">
  <authors>
    <author>QA</author>
  </authors>
  <commentList>
    <comment ref="A3" authorId="0" shapeId="0">
      <text>
        <t>Entry criteria (CTFL 5.1.3): resources available, test material available, and an initial quality level (smoke test) of the test object.</t>
      </text>
    </comment>
    <comment ref="A12" authorId="0" shapeId="0">
      <text>
        <t>Exit criteria (CTFL 5.1.3): measures of thoroughness (coverage, open defects) and completion criteria (planned tests executed, report done).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app.shortcut.com/persimmonlife/story/15139/provider-vacations-allow-multiple-vacations-submission"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filterMode="0">
    <outlinePr summaryBelow="1" summaryRight="1"/>
    <pageSetUpPr fitToPage="0"/>
  </sheetPr>
  <dimension ref="A1:D3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8" customWidth="1" style="19" min="1" max="1"/>
    <col width="157.71" customWidth="1" style="19" min="2" max="2"/>
    <col width="15" customWidth="1" style="19" min="3" max="3"/>
    <col width="42" customWidth="1" style="19" min="4" max="4"/>
    <col width="8.710000000000001" customWidth="1" style="19" min="5" max="26"/>
  </cols>
  <sheetData>
    <row r="1" ht="24" customHeight="1" s="20">
      <c r="A1" s="21" t="inlineStr">
        <is>
          <t>TESTWARE #004: TEST PLAN</t>
        </is>
      </c>
    </row>
    <row r="2" ht="43.5" customHeight="1" s="20">
      <c r="A2" s="22" t="inlineStr">
        <is>
          <t>Feature: Provider App login - login code via email as a fallback when the SMS code does not arrive.
Improvement of the existing login (phone number + 6-digit code by SMS): on the SMS code screen, the provider can ask for the code by email.
Sources: PRD 'Allow providers to receive login code via email as a fallback when SMS doesn't work' and answers from the clarification session (2026-10-21).</t>
        </is>
      </c>
      <c r="C2" s="23" t="inlineStr">
        <is>
          <t>Status</t>
        </is>
      </c>
      <c r="D2" s="23" t="inlineStr">
        <is>
          <t>Notes</t>
        </is>
      </c>
    </row>
    <row r="3" ht="134.25" customHeight="1" s="20">
      <c r="A3" s="24" t="inlineStr">
        <is>
          <t>Scope</t>
        </is>
      </c>
      <c r="B3" s="25" t="inlineStr">
        <is>
          <t>Only the email fallback added to the Provider App login, on iOS (Provider App DEV build):
(a) the button [Didn't get the code? Login with email instead] on the SMS code screen;
(b) the email screen: input with placeholder 'Email Address', [Get Started] and [Back];
(c) the check that the typed email is the one registered and linked to the account of the phone number entered at login, and the generic error message;
(d) delivery of the 6-digit code to that email inbox;
(e) the email code screen (similar to the SMS screen, without the email button): 6-digit code, 10-minute validity, previous codes expired;
(f) login completed with the email code;
(g) minimal check of the SMS login, only because it is the mandatory starting point of the improvement.
OUT OF SCOPE: attempt limits, lockout and rate limit (they do not exist: recorded as a future improvement); full regression of the SMS login; Android; Customer App and website; creating or changing a provider's email; email template design beyond the code; any other login or account feature.</t>
        </is>
      </c>
      <c r="C3" s="26" t="inlineStr">
        <is>
          <t>Confirmed</t>
        </is>
      </c>
      <c r="D3" s="25" t="inlineStr">
        <is>
          <t>Platform confirmed: iOS only. Limits recorded as future improvement (R14).</t>
        </is>
      </c>
    </row>
    <row r="4" ht="108" customHeight="1" s="20">
      <c r="A4" s="24" t="inlineStr">
        <is>
          <t>Test objectives</t>
        </is>
      </c>
      <c r="B4" s="25" t="inlineStr">
        <is>
          <t>Ensure that:
(1) the email option is shown at once on the SMS code screen, and only there (not before the SMS request and not on the email code screen);
(2) a code is sent only when the typed email is the one registered and linked to the account of the phone entered; any other input (another provider's email, an unregistered email, a malformed or empty value, a provider with no email) gets the generic error message and no email is sent;
(3) the email arrives on time with a 6-digit code, and that code logs the provider in;
(4) only the newest code works: the SMS code (and any older email code) expires when a new code is generated, and the email code expires after 10 minutes;
(5) [Back] returns to the SMS code screen with no side effects;
(6) the SMS login still works (minimal check).</t>
        </is>
      </c>
      <c r="C4" s="26" t="inlineStr">
        <is>
          <t>Confirmed</t>
        </is>
      </c>
      <c r="D4" s="25" t="n"/>
    </row>
    <row r="5" ht="69" customHeight="1" s="20">
      <c r="A5" s="24" t="inlineStr">
        <is>
          <t>Constraints</t>
        </is>
      </c>
      <c r="B5" s="25" t="inlineStr">
        <is>
          <t>- 3 working days: 2026-10-21 to 2026-10-23
- Manual execution only: the Provider App is a native iOS app, and Playwright tests web pages, not native apps, so no automation in this cycle
- Only fictional test providers whose registered emails go to inboxes controlled by QA (no real person may receive a code)
- Expiry tests need real waiting time (10 minutes): run them in parallel with other tests
- No attempt limits exist, so repeated requests during testing are possible but must be kept reasonable</t>
        </is>
      </c>
      <c r="C5" s="26" t="inlineStr">
        <is>
          <t>Confirmed</t>
        </is>
      </c>
      <c r="D5" s="25" t="inlineStr">
        <is>
          <t>Deadline confirmed (2026-10-21).</t>
        </is>
      </c>
    </row>
    <row r="6" ht="56.25" customHeight="1" s="20">
      <c r="A6" s="24" t="inlineStr">
        <is>
          <t>Test basis</t>
        </is>
      </c>
      <c r="B6" s="25" t="inlineStr">
        <is>
          <t>- PRD 'Allow providers to receive login code via email as a fallback when SMS doesn't work' (English summary + Portuguese description of the screens and buttons)
- Answers from the clarification session (2026-10-21): rules 4 to 10 below
- Figma design: to be added
- Jira story: to be added</t>
        </is>
      </c>
      <c r="C6" s="26" t="inlineStr">
        <is>
          <t>Confirmed</t>
        </is>
      </c>
      <c r="D6" s="25" t="inlineStr">
        <is>
          <t>The PRD is short: the confirmed rules and open assumptions below define the expected results.</t>
        </is>
      </c>
    </row>
    <row r="7"/>
    <row r="8" ht="19.5" customHeight="1" s="20">
      <c r="A8" s="27" t="inlineStr">
        <is>
          <t>2. ASSUMPTIONS AND PROJECT CONSTRAINTS</t>
        </is>
      </c>
    </row>
    <row r="9" ht="160.5" customHeight="1" s="20">
      <c r="A9" s="24" t="inlineStr">
        <is>
          <t>Confirmed rules</t>
        </is>
      </c>
      <c r="B9" s="25" t="inlineStr">
        <is>
          <t>(1) The email option is offered only after the code was requested by SMS, on the code input screen.
(2) The button [Didn't get the code? Login with email instead] is shown immediately when the SMS code screen opens.
(3) A tap opens a new screen with one input (placeholder 'Email Address'). [Get Started] confirms the request; [Back] cancels it.
(4) The code is sent only to the email registered and linked to the provider account.
(5) If the typed email does not match, the app shows a generic error message.
(6) After [Get Started], a code screen similar to the SMS one opens, without the email button. The code has 6 digits.
(7) The email code is valid for 10 minutes. A new code is generated and the previous code expires.
(8) [Back] returns to the previous screen (SMS code screen).
(9) On the test environment, the email is really sent (the environment was changed for that).
(10) There are no attempt limits, lockout or rate limit. This is recorded as a future improvement, not tested.
(11) A provider with no registered email does not exist yet: QA will create one to test it.
(12) The SMS login gets a minimal check only.</t>
        </is>
      </c>
      <c r="C9" s="26" t="inlineStr">
        <is>
          <t>Confirmed</t>
        </is>
      </c>
      <c r="D9" s="25" t="inlineStr">
        <is>
          <t>Rules 1 to 3: PRD. Rules 4 to 12: answers from the clarification session (2026-10-21).</t>
        </is>
      </c>
    </row>
    <row r="10" ht="134.25" customHeight="1" s="20">
      <c r="A10" s="24" t="inlineStr">
        <is>
          <t>Assumptions to confirm</t>
        </is>
      </c>
      <c r="B10" s="25" t="inlineStr">
        <is>
          <t>(A1) The generic error message is the SAME text, in the same place, for every invalid case: another provider's email, unregistered email, malformed email, empty field, provider with no email. Exact text to be provided.
(A2) The email check ignores upper/lower case and leading/trailing spaces (the iOS keyboard capitalizes the first letter and may add a space after a suggestion).
(A3) With an empty field, [Get Started] is disabled or shows the generic error; there is a basic format check (an '@' and a domain) in the app.
(A4) [Back] does not generate a code and does not expire the SMS code: only [Get Started] does.
(A5) The email code screen has no 'resend' and no 'back to SMS' option (the PRD describes none).
(A6) Rule 7 also applies email to email: each new [Get Started] expires the previous email code.
(A7) The 10 minutes count from the moment the code is generated and are checked by the server.
(A8) Login with the email code opens the same screen and session as the SMS login.
(A9) The email contains the 6-digit code only (no login link), in English.</t>
        </is>
      </c>
      <c r="C10" s="26" t="inlineStr">
        <is>
          <t>To confirm</t>
        </is>
      </c>
      <c r="D10" s="25" t="inlineStr">
        <is>
          <t>A1, A2, A4 and A6 block the entry criteria (E5): send them first.</t>
        </is>
      </c>
    </row>
    <row r="11"/>
    <row r="12" ht="19.5" customHeight="1" s="20">
      <c r="A12" s="27" t="inlineStr">
        <is>
          <t>3. STAKEHOLDERS</t>
        </is>
      </c>
    </row>
    <row r="13" ht="17.25" customHeight="1" s="20">
      <c r="A13" s="24" t="inlineStr">
        <is>
          <t>QA Analyst</t>
        </is>
      </c>
      <c r="B13" s="25" t="inlineStr">
        <is>
          <t>QA Analyst and tester (author of this plan): plans, designs, executes and reports the tests.</t>
        </is>
      </c>
      <c r="C13" s="26" t="inlineStr">
        <is>
          <t>Confirmed</t>
        </is>
      </c>
      <c r="D13" s="25" t="n"/>
    </row>
    <row r="14" ht="30" customHeight="1" s="20">
      <c r="A14" s="24" t="inlineStr">
        <is>
          <t>Engineering Lead</t>
        </is>
      </c>
      <c r="B14" s="25" t="inlineStr">
        <is>
          <t>technical approval; clarifies business rules (open assumptions) and the future improvement (limits).</t>
        </is>
      </c>
      <c r="C14" s="26" t="inlineStr">
        <is>
          <t>Confirmed</t>
        </is>
      </c>
      <c r="D14" s="25" t="inlineStr">
        <is>
          <t>Same stakeholders in every Testware (confirmed 2026-10-21).</t>
        </is>
      </c>
    </row>
    <row r="15" ht="30" customHeight="1" s="20">
      <c r="A15" s="24" t="inlineStr">
        <is>
          <t>Backend Lead</t>
        </is>
      </c>
      <c r="B15" s="25" t="inlineStr">
        <is>
          <t>email-to-account check, code generation and expiry (10 minutes, previous codes expired), email sending in the test environment, logs, the test provider with no registered email.</t>
        </is>
      </c>
      <c r="C15" s="26" t="inlineStr">
        <is>
          <t>Confirmed</t>
        </is>
      </c>
      <c r="D15" s="25" t="n"/>
    </row>
    <row r="16" ht="30" customHeight="1" s="20">
      <c r="A16" s="24" t="inlineStr">
        <is>
          <t>Frontend Lead</t>
        </is>
      </c>
      <c r="B16" s="25" t="inlineStr">
        <is>
          <t>Provider App screens and states (SMS code screen button, email screen, email code screen, [Back], [Get Started]), generic error message text, keyboard behavior.</t>
        </is>
      </c>
      <c r="C16" s="26" t="inlineStr">
        <is>
          <t>Confirmed</t>
        </is>
      </c>
      <c r="D16" s="25" t="n"/>
    </row>
    <row r="17"/>
    <row r="18" ht="19.5" customHeight="1" s="20">
      <c r="A18" s="27" t="inlineStr">
        <is>
          <t>4. RISK REGISTER (SUMMARY)</t>
        </is>
      </c>
    </row>
    <row r="19" ht="17.25" customHeight="1" s="20">
      <c r="A19" s="24" t="inlineStr">
        <is>
          <t>Reference</t>
        </is>
      </c>
      <c r="B19" s="25" t="inlineStr">
        <is>
          <t>See the 'Risk Register' tab for the full list with probability, impact, score and mitigation.</t>
        </is>
      </c>
      <c r="C19" s="26" t="inlineStr">
        <is>
          <t>Confirmed</t>
        </is>
      </c>
      <c r="D19" s="25" t="n"/>
    </row>
    <row r="20" ht="82.5" customHeight="1" s="20">
      <c r="A20" s="24" t="inlineStr">
        <is>
          <t>Highest-severity risks (summary)</t>
        </is>
      </c>
      <c r="B20" s="25" t="inlineStr">
        <is>
          <t>R2: a valid registered email is rejected because of upper case or spaces (the iOS keyboard capitalizes the first letter): the fallback fails exactly when the provider needs it.
R1: the app checks only that the email EXISTS, not that it belongs to the account of the phone entered: the code goes to another provider or logs into the wrong account.
R3: the email does not arrive, arrives late or goes to spam, or the code in it does not work.
R14 (accepted): no attempt limits: unlimited requests and code guesses. Recorded as a future improvement.</t>
        </is>
      </c>
      <c r="C20" s="26" t="inlineStr">
        <is>
          <t>Confirmed</t>
        </is>
      </c>
      <c r="D20" s="25" t="n"/>
    </row>
    <row r="21" ht="15.75" customHeight="1" s="20"/>
    <row r="22" ht="19.5" customHeight="1" s="20">
      <c r="A22" s="27" t="inlineStr">
        <is>
          <t>5. TEST APPROACH</t>
        </is>
      </c>
    </row>
    <row r="23" ht="43.5" customHeight="1" s="20">
      <c r="A23" s="24" t="inlineStr">
        <is>
          <t>Test levels</t>
        </is>
      </c>
      <c r="B23" s="25" t="inlineStr">
        <is>
          <t>(1) System testing of the login flow in the Provider App (iOS, DEV build);
(2) System integration testing of the code delivery (Backend &gt; email service &gt; inbox);
(3) Minimal regression (smoke) of the SMS login.</t>
        </is>
      </c>
      <c r="C23" s="26" t="inlineStr">
        <is>
          <t>Confirmed</t>
        </is>
      </c>
      <c r="D23" s="25" t="n"/>
    </row>
    <row r="24" ht="56.25" customHeight="1" s="20">
      <c r="A24" s="24" t="inlineStr">
        <is>
          <t>Test types</t>
        </is>
      </c>
      <c r="B24" s="25" t="inlineStr">
        <is>
          <t>(i) Functional (button, email screen, check of the email, code screen, login);
(ii) Security-related functional checks (email linked to the right account, previous codes expired, error message that does not reveal which emails exist);
(iii) Time-based (10-minute validity, email delivery time);
(iv) UI and usability (button visible on small iPhones with the keyboard open, placeholder, iOS keyboard, Mail app switch and return).</t>
        </is>
      </c>
      <c r="C24" s="26" t="inlineStr">
        <is>
          <t>Confirmed</t>
        </is>
      </c>
      <c r="D24" s="25" t="n"/>
    </row>
    <row r="25" ht="95.25" customHeight="1" s="20">
      <c r="A25" s="24" t="inlineStr">
        <is>
          <t>Test techniques</t>
        </is>
      </c>
      <c r="B25" s="25" t="inlineStr">
        <is>
          <t>(a) Equivalence partitioning and boundary value analysis: email input (registered email of this provider; same email in upper case or with spaces; another provider's email; unregistered valid email; malformed; empty; provider with no email); code (6 correct digits; 5 and 7 digits; letters; wrong 6 digits); expiry (just before and just after 10 minutes);
(b) Decision table 'Email check': format valid? x email registered? x linked to the phone's account? &gt; error or email sent;
(c) State transition: SMS code screen &gt; email screen &gt; (Back &gt; SMS code screen) or (Get Started &gt; email code screen &gt; logged in); code states: SMS code active &gt; expired after Get Started; email code 1 &gt; expired after a new request; email code &gt; expired after 10 minutes;
(d) Error guessing: double tap on [Get Started], leave the app to read the Mail app and come back, iOS keyboard autocapitalization and autofill 'From Mail'.</t>
        </is>
      </c>
      <c r="C25" s="26" t="inlineStr">
        <is>
          <t>Confirmed</t>
        </is>
      </c>
      <c r="D25" s="25" t="n"/>
    </row>
    <row r="26" ht="30" customHeight="1" s="20">
      <c r="A26" s="24" t="inlineStr">
        <is>
          <t>Test deliverables</t>
        </is>
      </c>
      <c r="B26" s="25" t="inlineStr">
        <is>
          <t>(1) Test Plan; (2) Risk Register; (3) Entry and exit criteria; (4) Schedule; (5) Test conditions, test cases, charters and coverage items; (6) Test sets, procedures and test data; (7) Execution records; (8) Defect reports; (9) Test completion report.</t>
        </is>
      </c>
      <c r="C26" s="26" t="inlineStr">
        <is>
          <t>Confirmed</t>
        </is>
      </c>
      <c r="D26" s="25" t="inlineStr">
        <is>
          <t>This file covers deliverables 1 to 4.</t>
        </is>
      </c>
    </row>
    <row r="27" ht="17.25" customHeight="1" s="20">
      <c r="A27" s="24" t="inlineStr">
        <is>
          <t>Entry and exit criteria</t>
        </is>
      </c>
      <c r="B27" s="25" t="inlineStr">
        <is>
          <t>See the 'Entry-Exit Criteria' tab.</t>
        </is>
      </c>
      <c r="C27" s="26" t="inlineStr">
        <is>
          <t>Confirmed</t>
        </is>
      </c>
      <c r="D27" s="25" t="n"/>
    </row>
    <row r="28" ht="17.25" customHeight="1" s="20">
      <c r="A28" s="24" t="inlineStr">
        <is>
          <t>Test independence</t>
        </is>
      </c>
      <c r="B28" s="25" t="inlineStr">
        <is>
          <t>Tests are run by QA, independent from the team that built the feature, which reduces confirmation bias.</t>
        </is>
      </c>
      <c r="C28" s="26" t="inlineStr">
        <is>
          <t>Confirmed</t>
        </is>
      </c>
      <c r="D28" s="25" t="n"/>
    </row>
    <row r="29" ht="43.5" customHeight="1" s="20">
      <c r="A29" s="24" t="inlineStr">
        <is>
          <t>Metrics to be collected</t>
        </is>
      </c>
      <c r="B29" s="25" t="inlineStr">
        <is>
          <t>(1) Cases executed vs planned; (2) cases passed, failed and blocked; (3) defects by severity; (4) open vs closed defects; (5) coverage of high-priority conditions; (6) 'Email check' decision table rules validated; (7) code state transitions validated; (8) email delivery time (from [Get Started] to the email in the inbox), measured in each run.</t>
        </is>
      </c>
      <c r="C29" s="26" t="inlineStr">
        <is>
          <t>Confirmed</t>
        </is>
      </c>
      <c r="D29" s="25" t="n"/>
    </row>
    <row r="30" ht="69" customHeight="1" s="20">
      <c r="A30" s="24" t="inlineStr">
        <is>
          <t>Test data requirements</t>
        </is>
      </c>
      <c r="B30" s="25" t="inlineStr">
        <is>
          <t>(a) Fictional test providers on DEV with Provider App login: P1 with a registered email in a QA inbox (main provider); P2 another provider with a different QA inbox (to test 'another provider's email'); P3 with NO registered email (to be created);
(b) Email variants for P1: exact; first letter upper case; all upper case; leading and trailing spaces; unregistered valid email; malformed (no '@', no domain); empty;
(c) Code variants: correct, wrong 6 digits, 5 digits, 7 digits, letters, expired SMS code, expired email code;
(d) A phone number that receives SMS on DEV, for the minimal SMS check.</t>
        </is>
      </c>
      <c r="C30" s="26" t="inlineStr">
        <is>
          <t>Pendent</t>
        </is>
      </c>
      <c r="D30" s="25" t="inlineStr">
        <is>
          <t>P3 must be created ('insert to test'): ask Backend if the account accepts an empty email.</t>
        </is>
      </c>
    </row>
    <row r="31" ht="43.5" customHeight="1" s="20">
      <c r="A31" s="24" t="inlineStr">
        <is>
          <t>Test environment requirements</t>
        </is>
      </c>
      <c r="B31" s="25" t="inlineStr">
        <is>
          <t>(1) Provider App DEV build with the email fallback installed on an iPhone (iOS only; version recorded for each run), and a small-screen iPhone or simulator for the button layout; (2) Mail app (or webmail) on the same iPhone with the QA inboxes, to test the app switch; (3) a stopwatch for the 10-minute tests; (4) Backend logs (code generation, expiry, email sent) when available.</t>
        </is>
      </c>
      <c r="C31" s="26" t="inlineStr">
        <is>
          <t>Confirmed</t>
        </is>
      </c>
      <c r="D31" s="25" t="n"/>
    </row>
    <row r="32" ht="17.25" customHeight="1" s="20">
      <c r="A32" s="24" t="inlineStr">
        <is>
          <t>Deviations from policy or strategy</t>
        </is>
      </c>
      <c r="B32" s="25" t="inlineStr">
        <is>
          <t>No Playwright automation in this cycle (native iOS app). Otherwise none: Testware #003 is the format baseline.</t>
        </is>
      </c>
      <c r="C32" s="26" t="inlineStr">
        <is>
          <t>Confirmed</t>
        </is>
      </c>
      <c r="D32" s="25" t="n"/>
    </row>
    <row r="33" ht="15.75" customHeight="1" s="20"/>
    <row r="34" ht="19.5" customHeight="1" s="20">
      <c r="A34" s="27" t="inlineStr">
        <is>
          <t>6. BUDGET AND SCHEDULE</t>
        </is>
      </c>
    </row>
    <row r="35" ht="17.25" customHeight="1" s="20">
      <c r="A35" s="24" t="inlineStr">
        <is>
          <t>Budget</t>
        </is>
      </c>
      <c r="B35" s="25" t="inlineStr">
        <is>
          <t>Not applicable (internal effort, no extra tool cost).</t>
        </is>
      </c>
      <c r="C35" s="26" t="inlineStr">
        <is>
          <t>Confirmed</t>
        </is>
      </c>
      <c r="D35" s="25" t="n"/>
    </row>
    <row r="36" ht="17.25" customHeight="1" s="20">
      <c r="A36" s="24" t="inlineStr">
        <is>
          <t>Schedule</t>
        </is>
      </c>
      <c r="B36" s="25" t="inlineStr">
        <is>
          <t>3 working days: 2026-10-21 to 2026-10-23. See the 'Schedule' tab.</t>
        </is>
      </c>
      <c r="C36" s="26" t="inlineStr">
        <is>
          <t>Confirmed</t>
        </is>
      </c>
      <c r="D36" s="25" t="n"/>
    </row>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7">
    <mergeCell ref="A1:D1"/>
    <mergeCell ref="A18:D18"/>
    <mergeCell ref="A2:B2"/>
    <mergeCell ref="A8:D8"/>
    <mergeCell ref="A22:D22"/>
    <mergeCell ref="A34:D34"/>
    <mergeCell ref="A12:D12"/>
  </mergeCells>
  <conditionalFormatting sqref="C3:C1000">
    <cfRule type="expression" rank="0" priority="2" equalAverage="0" aboveAverage="0" dxfId="0" text="" percent="0" bottom="0">
      <formula>EXACT(C3,"Confirmed")</formula>
    </cfRule>
    <cfRule type="expression" rank="0" priority="3" equalAverage="0" aboveAverage="0" dxfId="1" text="" percent="0" bottom="0">
      <formula>EXACT(C3,"To confirm")</formula>
    </cfRule>
    <cfRule type="expression" rank="0" priority="4" equalAverage="0" aboveAverage="0" dxfId="2" text="" percent="0" bottom="0">
      <formula>EXACT(C3,"Pendent")</formula>
    </cfRule>
  </conditionalFormatting>
  <dataValidations count="1">
    <dataValidation sqref="C3:C6 C9:C10 C13:C16 C19:C20 C23:C32 C35:C36" showDropDown="0" showInputMessage="0" showErrorMessage="0" allowBlank="1" type="list" errorStyle="stop" operator="between">
      <formula1>"Pendent,To confirm,Confirmed"</formula1>
      <formula2>0</formula2>
    </dataValidation>
  </dataValidations>
  <hyperlinks>
    <hyperlink xmlns:r="http://schemas.openxmlformats.org/officeDocument/2006/relationships" ref="A2" display="Feature: Provider App login - login code via email as a fallback when the SMS code does not arrive.&#10;Improvement of the existing login (phone number + 6-digit code by SMS): on the SMS code screen, the provider can ask for the code by email.&#10;Sources: PRD 'Allow providers to receive login code via email as a fallback when SMS doesn't work' and answers from Yuri (2026-10-21)."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H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6" customWidth="1" style="19" min="1" max="1"/>
    <col width="24" customWidth="1" style="19" min="2" max="2"/>
    <col width="74" customWidth="1" style="19" min="3" max="3"/>
    <col width="17" customWidth="1" style="19" min="4" max="4"/>
    <col width="15" customWidth="1" style="19" min="5" max="8"/>
    <col width="8.710000000000001" customWidth="1" style="19" min="9" max="26"/>
  </cols>
  <sheetData>
    <row r="1" ht="24" customHeight="1" s="20">
      <c r="A1" s="21" t="inlineStr">
        <is>
          <t>TESTWARE #004: TEST SCHEDULE</t>
        </is>
      </c>
    </row>
    <row r="2" ht="27.75" customHeight="1" s="20">
      <c r="A2" s="28" t="inlineStr">
        <is>
          <t>Total planned time: 3 working days (2026-10-21 to 2026-10-23). Fill in actual dates in the yellow cells. Duration counts working days (Monday to Friday) between the start and end dates.</t>
        </is>
      </c>
    </row>
    <row r="3"/>
    <row r="4" ht="15" customHeight="1" s="20">
      <c r="A4" s="29" t="inlineStr">
        <is>
          <t>Step</t>
        </is>
      </c>
      <c r="B4" s="29" t="inlineStr">
        <is>
          <t>Phase (ISO 29119-2)</t>
        </is>
      </c>
      <c r="C4" s="29" t="inlineStr">
        <is>
          <t>Activity</t>
        </is>
      </c>
      <c r="D4" s="29" t="inlineStr">
        <is>
          <t>Owner</t>
        </is>
      </c>
      <c r="E4" s="29" t="inlineStr">
        <is>
          <t>Start</t>
        </is>
      </c>
      <c r="F4" s="29" t="inlineStr">
        <is>
          <t>End</t>
        </is>
      </c>
      <c r="G4" s="29" t="inlineStr">
        <is>
          <t>Duration (days)</t>
        </is>
      </c>
      <c r="H4" s="29" t="inlineStr">
        <is>
          <t>Status</t>
        </is>
      </c>
    </row>
    <row r="5" ht="43.5" customHeight="1" s="20">
      <c r="A5" s="25" t="n">
        <v>1</v>
      </c>
      <c r="B5" s="25" t="inlineStr">
        <is>
          <t>Test Planning</t>
        </is>
      </c>
      <c r="C5" s="25" t="inlineStr">
        <is>
          <t>Draft the Test Plan, Schedule, Risk Register and Entry/Exit Criteria. Send the open assumptions (A1 to A9, A1, A2, A4 and A6 first) to the stakeholders. Record the missing limits as a future improvement.</t>
        </is>
      </c>
      <c r="D5" s="25" t="inlineStr">
        <is>
          <t>QA Analyst</t>
        </is>
      </c>
      <c r="E5" s="30" t="n">
        <v>46316</v>
      </c>
      <c r="F5" s="30" t="n">
        <v>46316</v>
      </c>
      <c r="G5" s="25">
        <f>NETWORKDAYS(E5,F5)</f>
        <v/>
      </c>
      <c r="H5" s="25" t="inlineStr">
        <is>
          <t>In progress</t>
        </is>
      </c>
    </row>
    <row r="6" ht="56.25" customHeight="1" s="20">
      <c r="A6" s="25" t="n">
        <v>2</v>
      </c>
      <c r="B6" s="25" t="inlineStr">
        <is>
          <t>Test Analysis</t>
        </is>
      </c>
      <c r="C6" s="25" t="inlineStr">
        <is>
          <t>Derive test conditions from the PRD and the confirmed rules. Build the 'Email check' decision table, the state transition model (screens and code states), the email and code partitions and the 10-minute boundaries. Prioritize by risk, coverage and requirement.</t>
        </is>
      </c>
      <c r="D6" s="25" t="inlineStr">
        <is>
          <t>QA Analyst</t>
        </is>
      </c>
      <c r="E6" s="30" t="n">
        <v>46316</v>
      </c>
      <c r="F6" s="30" t="n">
        <v>46316</v>
      </c>
      <c r="G6" s="25">
        <f>NETWORKDAYS(E6,F6)</f>
        <v/>
      </c>
      <c r="H6" s="25" t="inlineStr">
        <is>
          <t>Not started</t>
        </is>
      </c>
    </row>
    <row r="7" ht="30" customHeight="1" s="20">
      <c r="A7" s="25" t="n">
        <v>3</v>
      </c>
      <c r="B7" s="25" t="inlineStr">
        <is>
          <t>Test Design</t>
        </is>
      </c>
      <c r="C7" s="25" t="inlineStr">
        <is>
          <t>Write test cases, charters (Mail app switch, iOS keyboard), coverage items, test data requirements and environment requirements.</t>
        </is>
      </c>
      <c r="D7" s="25" t="inlineStr">
        <is>
          <t>QA Analyst</t>
        </is>
      </c>
      <c r="E7" s="30" t="n">
        <v>46316</v>
      </c>
      <c r="F7" s="30" t="n">
        <v>46317</v>
      </c>
      <c r="G7" s="25">
        <f>NETWORKDAYS(E7,F7)</f>
        <v/>
      </c>
      <c r="H7" s="25" t="inlineStr">
        <is>
          <t>Not started</t>
        </is>
      </c>
    </row>
    <row r="8" ht="43.5" customHeight="1" s="20">
      <c r="A8" s="25" t="n">
        <v>4</v>
      </c>
      <c r="B8" s="25" t="inlineStr">
        <is>
          <t>Test Implementation</t>
        </is>
      </c>
      <c r="C8" s="25" t="inlineStr">
        <is>
          <t>Build test sets and procedures. Prepare P1, P2 (QA inboxes) and create P3 (no email). Install and record the DEV build. Run the entry-criteria smoke test (SMS screen shows the button; one email code arrives and logs in).</t>
        </is>
      </c>
      <c r="D8" s="25" t="inlineStr">
        <is>
          <t>QA Analyst</t>
        </is>
      </c>
      <c r="E8" s="30" t="n">
        <v>46317</v>
      </c>
      <c r="F8" s="30" t="n">
        <v>46317</v>
      </c>
      <c r="G8" s="25">
        <f>NETWORKDAYS(E8,F8)</f>
        <v/>
      </c>
      <c r="H8" s="25" t="inlineStr">
        <is>
          <t>Not started</t>
        </is>
      </c>
    </row>
    <row r="9" ht="43.5" customHeight="1" s="20">
      <c r="A9" s="25" t="n">
        <v>5</v>
      </c>
      <c r="B9" s="25" t="inlineStr">
        <is>
          <t>Test Execution</t>
        </is>
      </c>
      <c r="C9" s="25" t="inlineStr">
        <is>
          <t>Run the high priority sets: email check (decision table, upper case and spaces, another provider's email), email delivery and code login, previous codes expired, 10-minute expiry (run the waits in parallel).</t>
        </is>
      </c>
      <c r="D9" s="25" t="inlineStr">
        <is>
          <t>QA Analyst</t>
        </is>
      </c>
      <c r="E9" s="30" t="n">
        <v>46317</v>
      </c>
      <c r="F9" s="30" t="n">
        <v>46317</v>
      </c>
      <c r="G9" s="25">
        <f>NETWORKDAYS(E9,F9)</f>
        <v/>
      </c>
      <c r="H9" s="25" t="inlineStr">
        <is>
          <t>Not started</t>
        </is>
      </c>
    </row>
    <row r="10" ht="43.5" customHeight="1" s="20">
      <c r="A10" s="25" t="n">
        <v>6</v>
      </c>
      <c r="B10" s="25" t="inlineStr">
        <is>
          <t>Test Execution (cont.)</t>
        </is>
      </c>
      <c r="C10" s="25" t="inlineStr">
        <is>
          <t>Run the medium and low priority sets: generic error message, P3 with no email, button visibility and layout, [Back], double tap on [Get Started], Mail app switch, code input variants, minimal SMS check, charters. Retest fixed defects.</t>
        </is>
      </c>
      <c r="D10" s="25" t="inlineStr">
        <is>
          <t>QA Analyst</t>
        </is>
      </c>
      <c r="E10" s="30" t="n">
        <v>46318</v>
      </c>
      <c r="F10" s="30" t="n">
        <v>46318</v>
      </c>
      <c r="G10" s="25">
        <f>NETWORKDAYS(E10,F10)</f>
        <v/>
      </c>
      <c r="H10" s="25" t="inlineStr">
        <is>
          <t>Not started</t>
        </is>
      </c>
    </row>
    <row r="11" ht="30" customHeight="1" s="20">
      <c r="A11" s="25" t="n">
        <v>7</v>
      </c>
      <c r="B11" s="25" t="inlineStr">
        <is>
          <t>Test Completion</t>
        </is>
      </c>
      <c r="C11" s="25" t="inlineStr">
        <is>
          <t>Consolidate metrics, write the Test Completion Report, lessons learned and improvement actions (including the missing limits). Validate the exit criteria.</t>
        </is>
      </c>
      <c r="D11" s="25" t="inlineStr">
        <is>
          <t>QA Analyst</t>
        </is>
      </c>
      <c r="E11" s="30" t="n">
        <v>46318</v>
      </c>
      <c r="F11" s="30" t="n">
        <v>46318</v>
      </c>
      <c r="G11" s="25">
        <f>NETWORKDAYS(E11,F11)</f>
        <v/>
      </c>
      <c r="H11" s="25" t="inlineStr">
        <is>
          <t>Not started</t>
        </is>
      </c>
    </row>
    <row r="12"/>
    <row r="13" ht="15" customHeight="1" s="20">
      <c r="D13" s="31" t="inlineStr">
        <is>
          <t>Total elapsed days</t>
        </is>
      </c>
      <c r="E13" s="32">
        <f>MIN(E5:E11)</f>
        <v/>
      </c>
      <c r="F13" s="32">
        <f>MAX(F5:F11)</f>
        <v/>
      </c>
      <c r="G13" s="24">
        <f>NETWORKDAYS(E13,F13)</f>
        <v/>
      </c>
    </row>
    <row r="21" ht="15.75" customHeight="1" s="20"/>
    <row r="22" ht="15.75" customHeight="1" s="20"/>
    <row r="23" ht="15.75" customHeight="1" s="20"/>
    <row r="24" ht="15.75" customHeight="1" s="20"/>
    <row r="25" ht="15.75" customHeight="1" s="20"/>
    <row r="26" ht="15.75" customHeight="1" s="20"/>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
    <mergeCell ref="A2:H2"/>
    <mergeCell ref="A1:H1"/>
  </mergeCells>
  <conditionalFormatting sqref="H5:H11">
    <cfRule type="expression" rank="0" priority="2" equalAverage="0" aboveAverage="0" dxfId="3" text="" percent="0" bottom="0">
      <formula>EXACT(H5,"Completed")</formula>
    </cfRule>
    <cfRule type="expression" rank="0" priority="3" equalAverage="0" aboveAverage="0" dxfId="4" text="" percent="0" bottom="0">
      <formula>EXACT(H5,"In progress")</formula>
    </cfRule>
    <cfRule type="expression" rank="0" priority="4" equalAverage="0" aboveAverage="0" dxfId="5" text="" percent="0" bottom="0">
      <formula>EXACT(H5,"Not started")</formula>
    </cfRule>
  </conditionalFormatting>
  <dataValidations count="1">
    <dataValidation sqref="H5:H11" showDropDown="0" showInputMessage="0" showErrorMessage="0" allowBlank="1" type="list" errorStyle="stop" operator="between">
      <formula1>"Not started,In progress,Completed"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J29"/>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8" activeCellId="0" sqref="B8"/>
    </sheetView>
  </sheetViews>
  <sheetFormatPr baseColWidth="8" defaultColWidth="14.43359375" defaultRowHeight="15" zeroHeight="0" outlineLevelRow="0"/>
  <cols>
    <col width="17" customWidth="1" style="19" min="1" max="1"/>
    <col width="11" customWidth="1" style="19" min="2" max="2"/>
    <col width="60" customWidth="1" style="19" min="3" max="3"/>
    <col width="14" customWidth="1" style="19" min="4" max="4"/>
    <col width="11" customWidth="1" style="19" min="5" max="5"/>
    <col width="10" customWidth="1" style="19" min="6" max="6"/>
    <col width="12" customWidth="1" style="19" min="7" max="7"/>
    <col width="60" customWidth="1" style="19" min="8" max="8"/>
    <col width="13" customWidth="1" style="19" min="9" max="9"/>
    <col width="23" customWidth="1" style="19" min="10" max="10"/>
    <col width="8.710000000000001" customWidth="1" style="19" min="11" max="26"/>
  </cols>
  <sheetData>
    <row r="1" ht="24" customHeight="1" s="20">
      <c r="A1" s="21" t="inlineStr">
        <is>
          <t>TESTWARE #004: RISK REGISTER (RISK-BASED TESTING)</t>
        </is>
      </c>
    </row>
    <row r="2" ht="15" customHeight="1" s="20">
      <c r="A2" s="28" t="inlineStr">
        <is>
          <t>Score = Probability x Impact (scale 1 to 5). Test priority follows the score, highest first. Blue cells are inputs you can change; Score and Level are formulas.</t>
        </is>
      </c>
    </row>
    <row r="3" ht="15" customHeight="1" s="20">
      <c r="A3" s="31" t="inlineStr">
        <is>
          <t>High level score</t>
        </is>
      </c>
      <c r="B3" s="33" t="n">
        <v>15</v>
      </c>
    </row>
    <row r="4" ht="15" customHeight="1" s="20">
      <c r="A4" s="31" t="inlineStr">
        <is>
          <t>Medium level score</t>
        </is>
      </c>
      <c r="B4" s="33" t="n">
        <v>8</v>
      </c>
    </row>
    <row r="5"/>
    <row r="6" ht="15" customHeight="1" s="20">
      <c r="A6" s="29" t="inlineStr">
        <is>
          <t>ID</t>
        </is>
      </c>
      <c r="B6" s="29" t="inlineStr">
        <is>
          <t>Category</t>
        </is>
      </c>
      <c r="C6" s="29" t="inlineStr">
        <is>
          <t>Risk description</t>
        </is>
      </c>
      <c r="D6" s="34" t="inlineStr">
        <is>
          <t>Probability (1-5)</t>
        </is>
      </c>
      <c r="E6" s="34" t="inlineStr">
        <is>
          <t>Impact (1-5)</t>
        </is>
      </c>
      <c r="F6" s="34" t="inlineStr">
        <is>
          <t>Score</t>
        </is>
      </c>
      <c r="G6" s="34" t="inlineStr">
        <is>
          <t>Level</t>
        </is>
      </c>
      <c r="H6" s="29" t="inlineStr">
        <is>
          <t>Mitigation / control action</t>
        </is>
      </c>
      <c r="I6" s="29" t="inlineStr">
        <is>
          <t>Status</t>
        </is>
      </c>
      <c r="J6" s="29" t="inlineStr">
        <is>
          <t>Owner</t>
        </is>
      </c>
    </row>
    <row r="7" ht="56.25" customHeight="1" s="20">
      <c r="A7" s="25" t="inlineStr">
        <is>
          <t>R1</t>
        </is>
      </c>
      <c r="B7" s="25" t="inlineStr">
        <is>
          <t>Product</t>
        </is>
      </c>
      <c r="C7" s="25" t="inlineStr">
        <is>
          <t>The app or API checks only that the typed email EXISTS, not that it belongs to the account of the phone entered at login: the code goes to another provider's inbox, or the provider is logged into the wrong account.</t>
        </is>
      </c>
      <c r="D7" s="35" t="n">
        <v>3</v>
      </c>
      <c r="E7" s="35" t="n">
        <v>5</v>
      </c>
      <c r="F7" s="36">
        <f>D7*E7</f>
        <v/>
      </c>
      <c r="G7" s="36">
        <f>IF(F7&gt;=$B$3,"High",IF(F7&gt;=$B$4,"Medium","Low"))</f>
        <v/>
      </c>
      <c r="H7" s="25" t="inlineStr">
        <is>
          <t>Use P1's phone with P2's email: expect the generic error and NO email in P2's inbox. Then use P1's email: the login must open P1's account (check name and data). Confirm the rule with Backend.</t>
        </is>
      </c>
      <c r="I7" s="25" t="inlineStr">
        <is>
          <t>Open</t>
        </is>
      </c>
      <c r="J7" s="25" t="inlineStr">
        <is>
          <t>QA + Backend</t>
        </is>
      </c>
    </row>
    <row r="8" ht="56.25" customHeight="1" s="20">
      <c r="A8" s="25" t="inlineStr">
        <is>
          <t>R2</t>
        </is>
      </c>
      <c r="B8" s="25" t="inlineStr">
        <is>
          <t>Product</t>
        </is>
      </c>
      <c r="C8" s="25" t="inlineStr">
        <is>
          <t>A valid registered email is rejected because of formatting: the iOS keyboard capitalizes the first letter, autofill or a suggestion adds a trailing space, or the provider types it in upper case. The fallback fails exactly when the provider needs it.</t>
        </is>
      </c>
      <c r="D8" s="35" t="n">
        <v>4</v>
      </c>
      <c r="E8" s="35" t="n">
        <v>4</v>
      </c>
      <c r="F8" s="36">
        <f>D8*E8</f>
        <v/>
      </c>
      <c r="G8" s="36">
        <f>IF(F8&gt;=$B$3,"High",IF(F8&gt;=$B$4,"Medium","Low"))</f>
        <v/>
      </c>
      <c r="H8" s="25" t="inlineStr">
        <is>
          <t>Test the email variants (first letter upper case, all upper case, leading and trailing spaces, chosen from the iOS suggestion bar). Confirm A2.</t>
        </is>
      </c>
      <c r="I8" s="25" t="inlineStr">
        <is>
          <t>Open</t>
        </is>
      </c>
      <c r="J8" s="25" t="inlineStr">
        <is>
          <t>QA + Backend</t>
        </is>
      </c>
    </row>
    <row r="9" ht="43.5" customHeight="1" s="20">
      <c r="A9" s="25" t="inlineStr">
        <is>
          <t>R3</t>
        </is>
      </c>
      <c r="B9" s="25" t="inlineStr">
        <is>
          <t>Product</t>
        </is>
      </c>
      <c r="C9" s="25" t="inlineStr">
        <is>
          <t>The email does not arrive, arrives late (too close to the 10-minute limit), goes to spam, or its code is wrong (not 6 digits, or not accepted by the app).</t>
        </is>
      </c>
      <c r="D9" s="35" t="n">
        <v>3</v>
      </c>
      <c r="E9" s="35" t="n">
        <v>5</v>
      </c>
      <c r="F9" s="36">
        <f>D9*E9</f>
        <v/>
      </c>
      <c r="G9" s="36">
        <f>IF(F9&gt;=$B$3,"High",IF(F9&gt;=$B$4,"Medium","Low"))</f>
        <v/>
      </c>
      <c r="H9" s="25" t="inlineStr">
        <is>
          <t>In every run, measure the time from [Get Started] to the email in the inbox; check spam; check the code format; log in with it. Check Backend logs when an email is missing.</t>
        </is>
      </c>
      <c r="I9" s="25" t="inlineStr">
        <is>
          <t>Open</t>
        </is>
      </c>
      <c r="J9" s="25" t="inlineStr">
        <is>
          <t>QA + Backend</t>
        </is>
      </c>
    </row>
    <row r="10" ht="43.5" customHeight="1" s="20">
      <c r="A10" s="25" t="inlineStr">
        <is>
          <t>R4</t>
        </is>
      </c>
      <c r="B10" s="25" t="inlineStr">
        <is>
          <t>Product</t>
        </is>
      </c>
      <c r="C10" s="25" t="inlineStr">
        <is>
          <t>The previous code still works after a new one is generated: the SMS code is still accepted after [Get Started], or an older email code is still accepted after a new request.</t>
        </is>
      </c>
      <c r="D10" s="35" t="n">
        <v>3</v>
      </c>
      <c r="E10" s="35" t="n">
        <v>4</v>
      </c>
      <c r="F10" s="36">
        <f>D10*E10</f>
        <v/>
      </c>
      <c r="G10" s="36">
        <f>IF(F10&gt;=$B$3,"High",IF(F10&gt;=$B$4,"Medium","Low"))</f>
        <v/>
      </c>
      <c r="H10" s="25" t="inlineStr">
        <is>
          <t>Request SMS &gt; request email &gt; type the SMS code (must fail). Request email twice &gt; type the first email code (must fail), then the second (must work). Confirm A6.</t>
        </is>
      </c>
      <c r="I10" s="25" t="inlineStr">
        <is>
          <t>Open</t>
        </is>
      </c>
      <c r="J10" s="25" t="inlineStr">
        <is>
          <t>QA + Backend</t>
        </is>
      </c>
    </row>
    <row r="11" ht="43.5" customHeight="1" s="20">
      <c r="A11" s="25" t="inlineStr">
        <is>
          <t>R5</t>
        </is>
      </c>
      <c r="B11" s="25" t="inlineStr">
        <is>
          <t>Product</t>
        </is>
      </c>
      <c r="C11" s="25" t="inlineStr">
        <is>
          <t>The 10-minute validity is wrong: the email code is accepted after 10 minutes or rejected before; the message after expiry is unclear.</t>
        </is>
      </c>
      <c r="D11" s="35" t="n">
        <v>3</v>
      </c>
      <c r="E11" s="35" t="n">
        <v>4</v>
      </c>
      <c r="F11" s="36">
        <f>D11*E11</f>
        <v/>
      </c>
      <c r="G11" s="36">
        <f>IF(F11&gt;=$B$3,"High",IF(F11&gt;=$B$4,"Medium","Low"))</f>
        <v/>
      </c>
      <c r="H11" s="25" t="inlineStr">
        <is>
          <t>Boundary tests: use the code at about 9:30 and at about 10:30 after [Get Started] (stopwatch). Confirm A7.</t>
        </is>
      </c>
      <c r="I11" s="25" t="inlineStr">
        <is>
          <t>Open</t>
        </is>
      </c>
      <c r="J11" s="25" t="inlineStr">
        <is>
          <t>QA + Backend</t>
        </is>
      </c>
    </row>
    <row r="12" ht="43.5" customHeight="1" s="20">
      <c r="A12" s="25" t="inlineStr">
        <is>
          <t>R6</t>
        </is>
      </c>
      <c r="B12" s="25" t="inlineStr">
        <is>
          <t>Product</t>
        </is>
      </c>
      <c r="C12" s="25" t="inlineStr">
        <is>
          <t>The app loses its state when the provider leaves it to read the Mail app and comes back: it returns to the phone screen, clears the code screen or requests a new code.</t>
        </is>
      </c>
      <c r="D12" s="35" t="n">
        <v>3</v>
      </c>
      <c r="E12" s="35" t="n">
        <v>4</v>
      </c>
      <c r="F12" s="36">
        <f>D12*E12</f>
        <v/>
      </c>
      <c r="G12" s="36">
        <f>IF(F12&gt;=$B$3,"High",IF(F12&gt;=$B$4,"Medium","Low"))</f>
        <v/>
      </c>
      <c r="H12" s="25" t="inlineStr">
        <is>
          <t>Charter: after [Get Started], open the Mail app, copy the code, return to the Provider App (also after a few minutes in the background) and log in.</t>
        </is>
      </c>
      <c r="I12" s="25" t="inlineStr">
        <is>
          <t>Open</t>
        </is>
      </c>
      <c r="J12" s="25" t="inlineStr">
        <is>
          <t>QA + Frontend</t>
        </is>
      </c>
    </row>
    <row r="13" ht="56.25" customHeight="1" s="20">
      <c r="A13" s="25" t="inlineStr">
        <is>
          <t>R7</t>
        </is>
      </c>
      <c r="B13" s="25" t="inlineStr">
        <is>
          <t>Product</t>
        </is>
      </c>
      <c r="C13" s="25" t="inlineStr">
        <is>
          <t>Generic error problems: no message, a different message for each case (this reveals which emails are registered), a crash or a false success for P3 (no email), for a malformed email or for an empty field.</t>
        </is>
      </c>
      <c r="D13" s="35" t="n">
        <v>3</v>
      </c>
      <c r="E13" s="35" t="n">
        <v>3</v>
      </c>
      <c r="F13" s="36">
        <f>D13*E13</f>
        <v/>
      </c>
      <c r="G13" s="36">
        <f>IF(F13&gt;=$B$3,"High",IF(F13&gt;=$B$4,"Medium","Low"))</f>
        <v/>
      </c>
      <c r="H13" s="25" t="inlineStr">
        <is>
          <t>Run the 'Email check' decision table with all invalid inputs and P3; compare the message text and position in each case. Confirm A1 and A3.</t>
        </is>
      </c>
      <c r="I13" s="25" t="inlineStr">
        <is>
          <t>Open</t>
        </is>
      </c>
      <c r="J13" s="25" t="inlineStr">
        <is>
          <t>QA + Frontend</t>
        </is>
      </c>
    </row>
    <row r="14" ht="43.5" customHeight="1" s="20">
      <c r="A14" s="25" t="inlineStr">
        <is>
          <t>R8</t>
        </is>
      </c>
      <c r="B14" s="25" t="inlineStr">
        <is>
          <t>Product</t>
        </is>
      </c>
      <c r="C14" s="25" t="inlineStr">
        <is>
          <t>Button problems: not shown at once on the SMS code screen, shown before the SMS request, still shown on the email code screen, hidden by the keyboard or cut on a small iPhone, wrong label.</t>
        </is>
      </c>
      <c r="D14" s="35" t="n">
        <v>2</v>
      </c>
      <c r="E14" s="35" t="n">
        <v>3</v>
      </c>
      <c r="F14" s="36">
        <f>D14*E14</f>
        <v/>
      </c>
      <c r="G14" s="36">
        <f>IF(F14&gt;=$B$3,"High",IF(F14&gt;=$B$4,"Medium","Low"))</f>
        <v/>
      </c>
      <c r="H14" s="25" t="inlineStr">
        <is>
          <t>Open the SMS code screen and check the button at once, with and without the keyboard, on a small and a large iPhone. Check that the email code screen has no button.</t>
        </is>
      </c>
      <c r="I14" s="25" t="inlineStr">
        <is>
          <t>Open</t>
        </is>
      </c>
      <c r="J14" s="25" t="inlineStr">
        <is>
          <t>QA + Frontend</t>
        </is>
      </c>
    </row>
    <row r="15" ht="43.5" customHeight="1" s="20">
      <c r="A15" s="25" t="inlineStr">
        <is>
          <t>R9</t>
        </is>
      </c>
      <c r="B15" s="25" t="inlineStr">
        <is>
          <t>Product</t>
        </is>
      </c>
      <c r="C15" s="25" t="inlineStr">
        <is>
          <t>[Back] on the email screen does not return to the SMS code screen, loses the phone number, sends a new SMS, or expires the SMS code.</t>
        </is>
      </c>
      <c r="D15" s="35" t="n">
        <v>2</v>
      </c>
      <c r="E15" s="35" t="n">
        <v>3</v>
      </c>
      <c r="F15" s="36">
        <f>D15*E15</f>
        <v/>
      </c>
      <c r="G15" s="36">
        <f>IF(F15&gt;=$B$3,"High",IF(F15&gt;=$B$4,"Medium","Low"))</f>
        <v/>
      </c>
      <c r="H15" s="25" t="inlineStr">
        <is>
          <t>From the email screen, tap [Back]; check the screen and the phone number; type the SMS code received before (must still work). Confirm A4.</t>
        </is>
      </c>
      <c r="I15" s="25" t="inlineStr">
        <is>
          <t>Open</t>
        </is>
      </c>
      <c r="J15" s="25" t="inlineStr">
        <is>
          <t>QA + Frontend</t>
        </is>
      </c>
    </row>
    <row r="16" ht="43.5" customHeight="1" s="20">
      <c r="A16" s="25" t="inlineStr">
        <is>
          <t>R10</t>
        </is>
      </c>
      <c r="B16" s="25" t="inlineStr">
        <is>
          <t>Product</t>
        </is>
      </c>
      <c r="C16" s="25" t="inlineStr">
        <is>
          <t>A double tap on [Get Started] sends 2 emails with 2 codes; the first code no longer works and the provider, typing it, gets an error with no clear reason.</t>
        </is>
      </c>
      <c r="D16" s="35" t="n">
        <v>3</v>
      </c>
      <c r="E16" s="35" t="n">
        <v>3</v>
      </c>
      <c r="F16" s="36">
        <f>D16*E16</f>
        <v/>
      </c>
      <c r="G16" s="36">
        <f>IF(F16&gt;=$B$3,"High",IF(F16&gt;=$B$4,"Medium","Low"))</f>
        <v/>
      </c>
      <c r="H16" s="25" t="inlineStr">
        <is>
          <t>Double tap on [Get Started]; count the emails received; test both codes.</t>
        </is>
      </c>
      <c r="I16" s="25" t="inlineStr">
        <is>
          <t>Open</t>
        </is>
      </c>
      <c r="J16" s="25" t="inlineStr">
        <is>
          <t>QA + Backend</t>
        </is>
      </c>
    </row>
    <row r="17" ht="43.5" customHeight="1" s="20">
      <c r="A17" s="25" t="inlineStr">
        <is>
          <t>R11</t>
        </is>
      </c>
      <c r="B17" s="25" t="inlineStr">
        <is>
          <t>Product</t>
        </is>
      </c>
      <c r="C17" s="25" t="inlineStr">
        <is>
          <t>Code input problems on the email code screen: accepts fewer or more than 6 digits or letters, iOS autofill 'From Mail' or paste does not work, unclear message for a wrong code.</t>
        </is>
      </c>
      <c r="D17" s="35" t="n">
        <v>3</v>
      </c>
      <c r="E17" s="35" t="n">
        <v>3</v>
      </c>
      <c r="F17" s="36">
        <f>D17*E17</f>
        <v/>
      </c>
      <c r="G17" s="36">
        <f>IF(F17&gt;=$B$3,"High",IF(F17&gt;=$B$4,"Medium","Low"))</f>
        <v/>
      </c>
      <c r="H17" s="25" t="inlineStr">
        <is>
          <t>Code variants (5, 7 digits, letters, wrong 6 digits); paste the code; try the iOS autofill suggestion.</t>
        </is>
      </c>
      <c r="I17" s="25" t="inlineStr">
        <is>
          <t>Open</t>
        </is>
      </c>
      <c r="J17" s="25" t="inlineStr">
        <is>
          <t>QA + Frontend</t>
        </is>
      </c>
    </row>
    <row r="18" ht="43.5" customHeight="1" s="20">
      <c r="A18" s="25" t="inlineStr">
        <is>
          <t>R12</t>
        </is>
      </c>
      <c r="B18" s="25" t="inlineStr">
        <is>
          <t>Product</t>
        </is>
      </c>
      <c r="C18" s="25" t="inlineStr">
        <is>
          <t>Login with the email code ends in a different state from the SMS login: wrong account, missing data, session not saved (logged out after closing the app).</t>
        </is>
      </c>
      <c r="D18" s="35" t="n">
        <v>2</v>
      </c>
      <c r="E18" s="35" t="n">
        <v>5</v>
      </c>
      <c r="F18" s="36">
        <f>D18*E18</f>
        <v/>
      </c>
      <c r="G18" s="36">
        <f>IF(F18&gt;=$B$3,"High",IF(F18&gt;=$B$4,"Medium","Low"))</f>
        <v/>
      </c>
      <c r="H18" s="25" t="inlineStr">
        <is>
          <t>After the email login, check the account data, close and reopen the app, and compare with an SMS login of the same provider. Confirm A8.</t>
        </is>
      </c>
      <c r="I18" s="25" t="inlineStr">
        <is>
          <t>Open</t>
        </is>
      </c>
      <c r="J18" s="25" t="inlineStr">
        <is>
          <t>QA</t>
        </is>
      </c>
    </row>
    <row r="19" ht="30" customHeight="1" s="20">
      <c r="A19" s="25" t="inlineStr">
        <is>
          <t>R13</t>
        </is>
      </c>
      <c r="B19" s="25" t="inlineStr">
        <is>
          <t>Product</t>
        </is>
      </c>
      <c r="C19" s="25" t="inlineStr">
        <is>
          <t>Regression: the new button breaks the SMS code screen (SMS code no longer accepted, broken layout).</t>
        </is>
      </c>
      <c r="D19" s="35" t="n">
        <v>2</v>
      </c>
      <c r="E19" s="35" t="n">
        <v>5</v>
      </c>
      <c r="F19" s="36">
        <f>D19*E19</f>
        <v/>
      </c>
      <c r="G19" s="36">
        <f>IF(F19&gt;=$B$3,"High",IF(F19&gt;=$B$4,"Medium","Low"))</f>
        <v/>
      </c>
      <c r="H19" s="25" t="inlineStr">
        <is>
          <t>Minimal SMS check: request SMS, type the SMS code, log in. Done in the entry smoke test and once more at the end.</t>
        </is>
      </c>
      <c r="I19" s="25" t="inlineStr">
        <is>
          <t>Open</t>
        </is>
      </c>
      <c r="J19" s="25" t="inlineStr">
        <is>
          <t>QA</t>
        </is>
      </c>
    </row>
    <row r="20" ht="43.5" customHeight="1" s="20">
      <c r="A20" s="25" t="inlineStr">
        <is>
          <t>R14</t>
        </is>
      </c>
      <c r="B20" s="25" t="inlineStr">
        <is>
          <t>Product</t>
        </is>
      </c>
      <c r="C20" s="25" t="inlineStr">
        <is>
          <t>No attempt limits, lockout or rate limit: unlimited email requests (email flooding) and unlimited code guesses within the 10 minutes (a 6-digit code can be guessed).</t>
        </is>
      </c>
      <c r="D20" s="35" t="n">
        <v>3</v>
      </c>
      <c r="E20" s="35" t="n">
        <v>4</v>
      </c>
      <c r="F20" s="36">
        <f>D20*E20</f>
        <v/>
      </c>
      <c r="G20" s="36">
        <f>IF(F20&gt;=$B$3,"High",IF(F20&gt;=$B$4,"Medium","Low"))</f>
        <v/>
      </c>
      <c r="H20" s="25" t="inlineStr">
        <is>
          <t>Known gap, out of the test scope (rule 10). Do not design tests for it. Record it as a future improvement (change request) and list it in the Test Completion Report.</t>
        </is>
      </c>
      <c r="I20" s="25" t="inlineStr">
        <is>
          <t>Accepted</t>
        </is>
      </c>
      <c r="J20" s="25" t="inlineStr">
        <is>
          <t>Engineering Lead</t>
        </is>
      </c>
    </row>
    <row r="21" ht="43.5" customHeight="1" s="20">
      <c r="A21" s="25" t="inlineStr">
        <is>
          <t>R15</t>
        </is>
      </c>
      <c r="B21" s="25" t="inlineStr">
        <is>
          <t>Project</t>
        </is>
      </c>
      <c r="C21" s="25" t="inlineStr">
        <is>
          <t>3 working days are short, and the 10-minute expiry tests need real waiting time.</t>
        </is>
      </c>
      <c r="D21" s="35" t="n">
        <v>3</v>
      </c>
      <c r="E21" s="35" t="n">
        <v>3</v>
      </c>
      <c r="F21" s="36">
        <f>D21*E21</f>
        <v/>
      </c>
      <c r="G21" s="36">
        <f>IF(F21&gt;=$B$3,"High",IF(F21&gt;=$B$4,"Medium","Low"))</f>
        <v/>
      </c>
      <c r="H21" s="25" t="inlineStr">
        <is>
          <t>Run high priority sets first. Start the 10-minute waits and run other tests meanwhile. Report early if the deadline needs renegotiation.</t>
        </is>
      </c>
      <c r="I21" s="25" t="inlineStr">
        <is>
          <t>Open</t>
        </is>
      </c>
      <c r="J21" s="25" t="inlineStr">
        <is>
          <t>QA + Engineering Lead</t>
        </is>
      </c>
    </row>
    <row r="22" ht="43.5" customHeight="1" s="20">
      <c r="A22" s="25" t="inlineStr">
        <is>
          <t>R16</t>
        </is>
      </c>
      <c r="B22" s="25" t="inlineStr">
        <is>
          <t>Project</t>
        </is>
      </c>
      <c r="C22" s="25" t="inlineStr">
        <is>
          <t>Test providers' registered emails are not in inboxes controlled by QA, or belong to real people: codes go to someone else (privacy) or QA cannot read them.</t>
        </is>
      </c>
      <c r="D22" s="35" t="n">
        <v>3</v>
      </c>
      <c r="E22" s="35" t="n">
        <v>4</v>
      </c>
      <c r="F22" s="36">
        <f>D22*E22</f>
        <v/>
      </c>
      <c r="G22" s="36">
        <f>IF(F22&gt;=$B$3,"High",IF(F22&gt;=$B$4,"Medium","Low"))</f>
        <v/>
      </c>
      <c r="H22" s="25" t="inlineStr">
        <is>
          <t>Before execution, check the registered email of P1 and P2 and point them to QA inboxes (entry criterion E2).</t>
        </is>
      </c>
      <c r="I22" s="25" t="inlineStr">
        <is>
          <t>Open</t>
        </is>
      </c>
      <c r="J22" s="25" t="inlineStr">
        <is>
          <t>QA + Backend</t>
        </is>
      </c>
    </row>
    <row r="23" ht="30" customHeight="1" s="20">
      <c r="A23" s="25" t="inlineStr">
        <is>
          <t>R17</t>
        </is>
      </c>
      <c r="B23" s="25" t="inlineStr">
        <is>
          <t>Project</t>
        </is>
      </c>
      <c r="C23" s="25" t="inlineStr">
        <is>
          <t>The provider with no registered email (P3) cannot be created (the account may require an email) or needs Backend help.</t>
        </is>
      </c>
      <c r="D23" s="35" t="n">
        <v>3</v>
      </c>
      <c r="E23" s="35" t="n">
        <v>3</v>
      </c>
      <c r="F23" s="36">
        <f>D23*E23</f>
        <v/>
      </c>
      <c r="G23" s="36">
        <f>IF(F23&gt;=$B$3,"High",IF(F23&gt;=$B$4,"Medium","Low"))</f>
        <v/>
      </c>
      <c r="H23" s="25" t="inlineStr">
        <is>
          <t>Ask Backend on Day 1 how to create P3. If it is impossible, record that the case cannot happen in production and close it.</t>
        </is>
      </c>
      <c r="I23" s="25" t="inlineStr">
        <is>
          <t>Open</t>
        </is>
      </c>
      <c r="J23" s="25" t="inlineStr">
        <is>
          <t>QA + Backend</t>
        </is>
      </c>
    </row>
    <row r="24" ht="30" customHeight="1" s="20">
      <c r="A24" s="25" t="inlineStr">
        <is>
          <t>R18</t>
        </is>
      </c>
      <c r="B24" s="25" t="inlineStr">
        <is>
          <t>Project</t>
        </is>
      </c>
      <c r="C24" s="25" t="inlineStr">
        <is>
          <t>Open assumptions (A1 to A9) are answered late and change the expected results.</t>
        </is>
      </c>
      <c r="D24" s="35" t="n">
        <v>3</v>
      </c>
      <c r="E24" s="35" t="n">
        <v>3</v>
      </c>
      <c r="F24" s="36">
        <f>D24*E24</f>
        <v/>
      </c>
      <c r="G24" s="36">
        <f>IF(F24&gt;=$B$3,"High",IF(F24&gt;=$B$4,"Medium","Low"))</f>
        <v/>
      </c>
      <c r="H24" s="25" t="inlineStr">
        <is>
          <t>Send A1, A2, A4 and A6 to the Engineering, Backend and Frontend leads on Day 1; the others in the same message.</t>
        </is>
      </c>
      <c r="I24" s="25" t="inlineStr">
        <is>
          <t>Open</t>
        </is>
      </c>
      <c r="J24" s="25" t="inlineStr">
        <is>
          <t>QA</t>
        </is>
      </c>
    </row>
    <row r="25" ht="43.5" customHeight="1" s="20">
      <c r="A25" s="25" t="inlineStr">
        <is>
          <t>R19</t>
        </is>
      </c>
      <c r="B25" s="25" t="inlineStr">
        <is>
          <t>Project</t>
        </is>
      </c>
      <c r="C25" s="25" t="inlineStr">
        <is>
          <t>The Provider App DEV build with the email fallback is not available on Day 1, or SMS cannot be received on DEV for the minimal check.</t>
        </is>
      </c>
      <c r="D25" s="35" t="n">
        <v>2</v>
      </c>
      <c r="E25" s="35" t="n">
        <v>4</v>
      </c>
      <c r="F25" s="36">
        <f>D25*E25</f>
        <v/>
      </c>
      <c r="G25" s="36">
        <f>IF(F25&gt;=$B$3,"High",IF(F25&gt;=$B$4,"Medium","Low"))</f>
        <v/>
      </c>
      <c r="H25" s="25" t="inlineStr">
        <is>
          <t>Confirm the build on the iPhone and an SMS phone on Day 1 (entry criteria E1 and E2).</t>
        </is>
      </c>
      <c r="I25" s="25" t="inlineStr">
        <is>
          <t>Open</t>
        </is>
      </c>
      <c r="J25" s="25" t="inlineStr">
        <is>
          <t>QA + Frontend</t>
        </is>
      </c>
    </row>
    <row r="26" ht="15.75" customHeight="1" s="20"/>
    <row r="27" ht="15.75" customHeight="1" s="20">
      <c r="A27" s="24" t="inlineStr">
        <is>
          <t>Risks at High level</t>
        </is>
      </c>
      <c r="B27" s="31">
        <f>COUNTIF($G$7:$G$25,"High")</f>
        <v/>
      </c>
    </row>
    <row r="28" ht="15.75" customHeight="1" s="20">
      <c r="A28" s="24" t="inlineStr">
        <is>
          <t>Risks at Medium level</t>
        </is>
      </c>
      <c r="B28" s="31">
        <f>COUNTIF($G$7:$G$25,"Medium")</f>
        <v/>
      </c>
    </row>
    <row r="29" ht="15.75" customHeight="1" s="20">
      <c r="A29" s="24" t="inlineStr">
        <is>
          <t>Risks at Low level</t>
        </is>
      </c>
      <c r="B29" s="31">
        <f>COUNTIF($G$7:$G$25,"Low")</f>
        <v/>
      </c>
    </row>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
    <mergeCell ref="A1:J1"/>
    <mergeCell ref="A2:J2"/>
  </mergeCells>
  <conditionalFormatting sqref="F7:G25">
    <cfRule type="expression" rank="0" priority="2" equalAverage="0" aboveAverage="0" dxfId="6" text="" percent="0" bottom="0">
      <formula>$G7="High"</formula>
    </cfRule>
    <cfRule type="expression" rank="0" priority="3" equalAverage="0" aboveAverage="0" dxfId="4" text="" percent="0" bottom="0">
      <formula>$G7="Medium"</formula>
    </cfRule>
    <cfRule type="expression" rank="0" priority="4" equalAverage="0" aboveAverage="0" dxfId="7" text="" percent="0" bottom="0">
      <formula>$G7="Low"</formula>
    </cfRule>
  </conditionalFormatting>
  <dataValidations count="1">
    <dataValidation sqref="I7:I25" showDropDown="0" showInputMessage="0" showErrorMessage="0" allowBlank="1" type="list" errorStyle="stop" operator="between">
      <formula1>"Open,Mitigated,Accepted,Closed"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F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8" customWidth="1" style="19" min="1" max="1"/>
    <col width="74" customWidth="1" style="19" min="2" max="2"/>
    <col width="14" customWidth="1" style="19" min="3" max="3"/>
    <col width="58" customWidth="1" style="19" min="4" max="4"/>
    <col width="15" customWidth="1" style="19" min="5" max="6"/>
    <col width="8.710000000000001" customWidth="1" style="19" min="7" max="26"/>
  </cols>
  <sheetData>
    <row r="1" ht="24" customHeight="1" s="20">
      <c r="A1" s="21" t="inlineStr">
        <is>
          <t>TESTWARE #004: ENTRY AND EXIT CRITERIA</t>
        </is>
      </c>
    </row>
    <row r="2"/>
    <row r="3" ht="15" customHeight="1" s="20">
      <c r="A3" s="37" t="inlineStr">
        <is>
          <t>ENTRY CRITERIA: must be met BEFORE test execution starts</t>
        </is>
      </c>
    </row>
    <row r="4" ht="15" customHeight="1" s="20">
      <c r="A4" s="29" t="inlineStr">
        <is>
          <t>ID</t>
        </is>
      </c>
      <c r="B4" s="29" t="inlineStr">
        <is>
          <t>Criterion</t>
        </is>
      </c>
      <c r="C4" s="29" t="inlineStr">
        <is>
          <t>Status</t>
        </is>
      </c>
      <c r="D4" s="29" t="inlineStr">
        <is>
          <t>Evidence / Observation</t>
        </is>
      </c>
      <c r="E4" s="29" t="inlineStr">
        <is>
          <t>Author</t>
        </is>
      </c>
      <c r="F4" s="29" t="inlineStr">
        <is>
          <t>Last update</t>
        </is>
      </c>
    </row>
    <row r="5" ht="43.5" customHeight="1" s="20">
      <c r="A5" s="25" t="inlineStr">
        <is>
          <t>E1</t>
        </is>
      </c>
      <c r="B5" s="25" t="inlineStr">
        <is>
          <t>Resource availability: QA allocated; Provider App DEV build with the email fallback installed on an iPhone (iOS only); 3 working days confirmed (2026-10-21 to 2026-10-23).</t>
        </is>
      </c>
      <c r="C5" s="25" t="inlineStr">
        <is>
          <t>Pending</t>
        </is>
      </c>
      <c r="D5" s="25" t="inlineStr">
        <is>
          <t>Record the build version for each run.</t>
        </is>
      </c>
      <c r="E5" s="25" t="inlineStr">
        <is>
          <t>QA Analyst</t>
        </is>
      </c>
      <c r="F5" s="38" t="n">
        <v>46316</v>
      </c>
    </row>
    <row r="6" ht="43.5" customHeight="1" s="20">
      <c r="A6" s="25" t="inlineStr">
        <is>
          <t>E2</t>
        </is>
      </c>
      <c r="B6" s="25" t="inlineStr">
        <is>
          <t>Access and data: P1 and P2 log in on DEV and their registered emails go to QA inboxes (readable in the Mail app on the test iPhone); P3 with no registered email created; a phone that receives SMS on DEV.</t>
        </is>
      </c>
      <c r="C6" s="25" t="inlineStr">
        <is>
          <t>Pending</t>
        </is>
      </c>
      <c r="D6" s="25" t="inlineStr">
        <is>
          <t>See 'Test data requirements' in the Test Plan.</t>
        </is>
      </c>
      <c r="E6" s="25" t="inlineStr">
        <is>
          <t>QA Analyst</t>
        </is>
      </c>
      <c r="F6" s="38" t="n">
        <v>46316</v>
      </c>
    </row>
    <row r="7" ht="30" customHeight="1" s="20">
      <c r="A7" s="25" t="inlineStr">
        <is>
          <t>E3</t>
        </is>
      </c>
      <c r="B7" s="25" t="inlineStr">
        <is>
          <t>Email sending enabled in the test environment and checked: one email with a code received in a QA inbox.</t>
        </is>
      </c>
      <c r="C7" s="25" t="inlineStr">
        <is>
          <t>Pending</t>
        </is>
      </c>
      <c r="D7" s="25" t="inlineStr">
        <is>
          <t>Rule 9: the test environment was changed to send emails.</t>
        </is>
      </c>
      <c r="E7" s="25" t="inlineStr">
        <is>
          <t>QA Analyst</t>
        </is>
      </c>
      <c r="F7" s="38" t="n">
        <v>46316</v>
      </c>
    </row>
    <row r="8" ht="43.5" customHeight="1" s="20">
      <c r="A8" s="25" t="inlineStr">
        <is>
          <t>E4</t>
        </is>
      </c>
      <c r="B8" s="25" t="inlineStr">
        <is>
          <t>Test material available: PRD reviewed, answers of 2026-10-21 recorded (rules 4 to 12), Figma accessible (if any), and the build with the email fallback deployed to DEV (Jira story or release note).</t>
        </is>
      </c>
      <c r="C8" s="25" t="inlineStr">
        <is>
          <t>In progress</t>
        </is>
      </c>
      <c r="D8" s="25" t="n"/>
      <c r="E8" s="25" t="inlineStr">
        <is>
          <t>QA Analyst</t>
        </is>
      </c>
      <c r="F8" s="38" t="n">
        <v>46316</v>
      </c>
    </row>
    <row r="9" ht="43.5" customHeight="1" s="20">
      <c r="A9" s="25" t="inlineStr">
        <is>
          <t>E5</t>
        </is>
      </c>
      <c r="B9" s="25" t="inlineStr">
        <is>
          <t>Critical ambiguities answered: generic message text and cases (A1), upper case and spaces (A2), [Back] and the SMS code (A4), email code expiry after a new request (A6).</t>
        </is>
      </c>
      <c r="C9" s="25" t="inlineStr">
        <is>
          <t>Pending</t>
        </is>
      </c>
      <c r="D9" s="25" t="inlineStr">
        <is>
          <t>Without these answers, the expected results of the high-priority tests are unknown.</t>
        </is>
      </c>
      <c r="E9" s="25" t="inlineStr">
        <is>
          <t>QA Analyst</t>
        </is>
      </c>
      <c r="F9" s="38" t="n">
        <v>46316</v>
      </c>
    </row>
    <row r="10" ht="30" customHeight="1" s="20">
      <c r="A10" s="25" t="inlineStr">
        <is>
          <t>E6</t>
        </is>
      </c>
      <c r="B10" s="25" t="inlineStr">
        <is>
          <t>Initial quality level: smoke test passed. The SMS login works; the SMS code screen shows the email button; one email code arrives and logs P1 in.</t>
        </is>
      </c>
      <c r="C10" s="25" t="inlineStr">
        <is>
          <t>Pending</t>
        </is>
      </c>
      <c r="D10" s="25" t="n"/>
      <c r="E10" s="25" t="inlineStr">
        <is>
          <t>QA Analyst</t>
        </is>
      </c>
      <c r="F10" s="38" t="n">
        <v>46316</v>
      </c>
    </row>
    <row r="11"/>
    <row r="12" ht="15" customHeight="1" s="20">
      <c r="A12" s="37" t="inlineStr">
        <is>
          <t>EXIT CRITERIA: must be met to consider the cycle COMPLETE</t>
        </is>
      </c>
    </row>
    <row r="13" ht="15" customHeight="1" s="20">
      <c r="A13" s="29" t="inlineStr">
        <is>
          <t>ID</t>
        </is>
      </c>
      <c r="B13" s="29" t="inlineStr">
        <is>
          <t>Criterion</t>
        </is>
      </c>
      <c r="C13" s="29" t="inlineStr">
        <is>
          <t>Status</t>
        </is>
      </c>
      <c r="D13" s="29" t="inlineStr">
        <is>
          <t>Evidence / Observation</t>
        </is>
      </c>
      <c r="E13" s="29" t="inlineStr">
        <is>
          <t>Author</t>
        </is>
      </c>
      <c r="F13" s="29" t="inlineStr">
        <is>
          <t>Last update</t>
        </is>
      </c>
    </row>
    <row r="14" ht="30" customHeight="1" s="20">
      <c r="A14" s="25" t="inlineStr">
        <is>
          <t>X1</t>
        </is>
      </c>
      <c r="B14" s="25" t="inlineStr">
        <is>
          <t>100% of high priority test conditions (risk score 15 or higher: R1, R2, R3) executed.</t>
        </is>
      </c>
      <c r="C14" s="25" t="inlineStr">
        <is>
          <t>Pending</t>
        </is>
      </c>
      <c r="D14" s="25" t="n"/>
      <c r="E14" s="25" t="n"/>
      <c r="F14" s="25" t="n"/>
    </row>
    <row r="15" ht="30" customHeight="1" s="20">
      <c r="A15" s="25" t="inlineStr">
        <is>
          <t>X2</t>
        </is>
      </c>
      <c r="B15" s="25" t="inlineStr">
        <is>
          <t>All rules of the 'Email check' decision table validated on iOS, including P3 (no email), and the same generic message confirmed for every invalid case.</t>
        </is>
      </c>
      <c r="C15" s="25" t="inlineStr">
        <is>
          <t>Pending</t>
        </is>
      </c>
      <c r="D15" s="25" t="n"/>
      <c r="E15" s="25" t="n"/>
      <c r="F15" s="25" t="n"/>
    </row>
    <row r="16" ht="43.5" customHeight="1" s="20">
      <c r="A16" s="25" t="inlineStr">
        <is>
          <t>X3</t>
        </is>
      </c>
      <c r="B16" s="25" t="inlineStr">
        <is>
          <t>Code state transitions validated: SMS code expired after [Get Started]; older email code expired after a new request; email code accepted before and rejected after 10 minutes.</t>
        </is>
      </c>
      <c r="C16" s="25" t="inlineStr">
        <is>
          <t>Pending</t>
        </is>
      </c>
      <c r="D16" s="25" t="n"/>
      <c r="E16" s="25" t="n"/>
      <c r="F16" s="25" t="n"/>
    </row>
    <row r="17" ht="43.5" customHeight="1" s="20">
      <c r="A17" s="25" t="inlineStr">
        <is>
          <t>X4</t>
        </is>
      </c>
      <c r="B17" s="25" t="inlineStr">
        <is>
          <t>Screens validated: button shown at once only on the SMS code screen and absent from the email code screen; [Back] returns to the SMS code screen; login with the email code opens the right account.</t>
        </is>
      </c>
      <c r="C17" s="25" t="inlineStr">
        <is>
          <t>Pending</t>
        </is>
      </c>
      <c r="D17" s="25" t="n"/>
      <c r="E17" s="25" t="n"/>
      <c r="F17" s="25" t="n"/>
    </row>
    <row r="18" ht="30" customHeight="1" s="20">
      <c r="A18" s="25" t="inlineStr">
        <is>
          <t>X5</t>
        </is>
      </c>
      <c r="B18" s="25" t="inlineStr">
        <is>
          <t>Zero open defects of Critical or High severity related to the email check, code delivery, code expiry or login completion.</t>
        </is>
      </c>
      <c r="C18" s="25" t="inlineStr">
        <is>
          <t>Pending</t>
        </is>
      </c>
      <c r="D18" s="25" t="n"/>
      <c r="E18" s="25" t="n"/>
      <c r="F18" s="25" t="n"/>
    </row>
    <row r="19" ht="17.25" customHeight="1" s="20">
      <c r="A19" s="25" t="inlineStr">
        <is>
          <t>X6</t>
        </is>
      </c>
      <c r="B19" s="25" t="inlineStr">
        <is>
          <t>Defect density within the level agreed with the stakeholders.</t>
        </is>
      </c>
      <c r="C19" s="25" t="inlineStr">
        <is>
          <t>Pending</t>
        </is>
      </c>
      <c r="D19" s="25" t="n"/>
      <c r="E19" s="25" t="n"/>
      <c r="F19" s="25" t="n"/>
    </row>
    <row r="20" ht="30" customHeight="1" s="20">
      <c r="A20" s="25" t="inlineStr">
        <is>
          <t>X7</t>
        </is>
      </c>
      <c r="B20" s="25" t="inlineStr">
        <is>
          <t>All planned tests executed, deferred with a recorded reason, or blocked with a documented cause.</t>
        </is>
      </c>
      <c r="C20" s="25" t="inlineStr">
        <is>
          <t>Pending</t>
        </is>
      </c>
      <c r="D20" s="25" t="n"/>
      <c r="E20" s="25" t="n"/>
      <c r="F20" s="25" t="n"/>
    </row>
    <row r="21" ht="17.25" customHeight="1" s="20">
      <c r="A21" s="25" t="inlineStr">
        <is>
          <t>X8</t>
        </is>
      </c>
      <c r="B21" s="25" t="inlineStr">
        <is>
          <t>Minimal SMS login check executed with no new failures.</t>
        </is>
      </c>
      <c r="C21" s="25" t="inlineStr">
        <is>
          <t>Pending</t>
        </is>
      </c>
      <c r="D21" s="25" t="n"/>
      <c r="E21" s="25" t="n"/>
      <c r="F21" s="25" t="n"/>
    </row>
    <row r="22" ht="30" customHeight="1" s="20">
      <c r="A22" s="25" t="inlineStr">
        <is>
          <t>X9</t>
        </is>
      </c>
      <c r="B22" s="25" t="inlineStr">
        <is>
          <t>Missing attempt limits, lockout and rate limit recorded as a future improvement (change request) and acknowledged by the stakeholders.</t>
        </is>
      </c>
      <c r="C22" s="25" t="inlineStr">
        <is>
          <t>Pending</t>
        </is>
      </c>
      <c r="D22" s="25" t="n"/>
      <c r="E22" s="25" t="n"/>
      <c r="F22" s="25" t="n"/>
    </row>
    <row r="23" ht="30" customHeight="1" s="20">
      <c r="A23" s="25" t="inlineStr">
        <is>
          <t>X10</t>
        </is>
      </c>
      <c r="B23" s="25" t="inlineStr">
        <is>
          <t>Test Completion Report written and reviewed by the stakeholders (Engineering, Backend and Frontend leads).</t>
        </is>
      </c>
      <c r="C23" s="25" t="inlineStr">
        <is>
          <t>Pending</t>
        </is>
      </c>
      <c r="D23" s="25" t="n"/>
      <c r="E23" s="25" t="n"/>
      <c r="F23" s="25" t="n"/>
    </row>
    <row r="24" ht="15.75" customHeight="1" s="20"/>
    <row r="25" ht="15.75" customHeight="1" s="20"/>
    <row r="26" ht="15.75" customHeight="1" s="20"/>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3">
    <mergeCell ref="A3:F3"/>
    <mergeCell ref="A1:F1"/>
    <mergeCell ref="A12:F12"/>
  </mergeCells>
  <conditionalFormatting sqref="C5:C10">
    <cfRule type="expression" rank="0" priority="2" equalAverage="0" aboveAverage="0" dxfId="3" text="" percent="0" bottom="0">
      <formula>EXACT(C5,"Resolved")</formula>
    </cfRule>
    <cfRule type="expression" rank="0" priority="3" equalAverage="0" aboveAverage="0" dxfId="4" text="" percent="0" bottom="0">
      <formula>EXACT(C5,"Pending")</formula>
    </cfRule>
    <cfRule type="expression" rank="0" priority="4" equalAverage="0" aboveAverage="0" dxfId="6" text="" percent="0" bottom="0">
      <formula>EXACT(C5,"Blocked")</formula>
    </cfRule>
    <cfRule type="expression" rank="0" priority="5" equalAverage="0" aboveAverage="0" dxfId="8" text="" percent="0" bottom="0">
      <formula>EXACT(C5,"In progress")</formula>
    </cfRule>
  </conditionalFormatting>
  <conditionalFormatting sqref="C14:C23">
    <cfRule type="expression" rank="0" priority="6" equalAverage="0" aboveAverage="0" dxfId="3" text="" percent="0" bottom="0">
      <formula>EXACT(C14,"Resolved")</formula>
    </cfRule>
    <cfRule type="expression" rank="0" priority="7" equalAverage="0" aboveAverage="0" dxfId="4" text="" percent="0" bottom="0">
      <formula>EXACT(C14,"Pending")</formula>
    </cfRule>
    <cfRule type="expression" rank="0" priority="8" equalAverage="0" aboveAverage="0" dxfId="6" text="" percent="0" bottom="0">
      <formula>EXACT(C14,"Blocked")</formula>
    </cfRule>
    <cfRule type="expression" rank="0" priority="9" equalAverage="0" aboveAverage="0" dxfId="8" text="" percent="0" bottom="0">
      <formula>EXACT(C14,"In progress")</formula>
    </cfRule>
  </conditionalFormatting>
  <dataValidations count="1">
    <dataValidation sqref="C5:C10 C14:C23" showDropDown="0" showInputMessage="0" showErrorMessage="0" allowBlank="1" type="list" errorStyle="stop" operator="between">
      <formula1>"Pending,In progress,Resolved,Blocked"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QA Analyst</dc:creator>
  <dc:language xmlns:dc="http://purl.org/dc/elements/1.1/">en-US</dc:language>
  <dcterms:created xmlns:dcterms="http://purl.org/dc/terms/" xmlns:xsi="http://www.w3.org/2001/XMLSchema-instance" xsi:type="dcterms:W3CDTF">2026-10-21T16:41:04Z</dcterms:created>
  <dcterms:modified xmlns:dcterms="http://purl.org/dc/terms/" xmlns:xsi="http://www.w3.org/2001/XMLSchema-instance" xsi:type="dcterms:W3CDTF">2026-10-21T19:12:24Z</dcterms:modified>
  <cp:lastModifiedBy>QA Analyst</cp:lastModifiedBy>
  <cp:revision>0</cp:revision>
</cp:coreProperties>
</file>